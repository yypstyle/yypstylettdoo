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5"/>
  </bookViews>
  <sheets>
    <sheet name="合同 " sheetId="1" r:id="rId1"/>
    <sheet name="发票" sheetId="2" r:id="rId2"/>
    <sheet name="装箱单" sheetId="3" r:id="rId3"/>
    <sheet name="报关明细表" sheetId="4" r:id="rId4"/>
    <sheet name="工作表1" sheetId="5" r:id="rId5"/>
    <sheet name="工作表2" sheetId="6" r:id="rId6"/>
    <sheet name="工作表3" sheetId="7" r:id="rId7"/>
  </sheets>
  <definedNames>
    <definedName name="_xlnm._FilterDatabase" localSheetId="5" hidden="1">工作表2!$A$4:$P$220</definedName>
    <definedName name="_xlnm.Print_Area" localSheetId="0">'合同 '!$A$1:$G$53</definedName>
    <definedName name="_xlnm.Print_Area" localSheetId="1">发票!$A$1:$E$26</definedName>
    <definedName name="_xlnm.Print_Area" localSheetId="2">装箱单!$A$1:$L$36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<sst xmlns="http://schemas.openxmlformats.org/spreadsheetml/2006/main" count="862" uniqueCount="351">
  <si>
    <t>销 售 合 同
SALES CONTRACT</t>
  </si>
  <si>
    <t>卖方（The sellers):</t>
  </si>
  <si>
    <t>深圳兴协贸易有限公司</t>
  </si>
  <si>
    <t xml:space="preserve">合同编号（ Contract No.）： </t>
  </si>
  <si>
    <t>地址（Address):</t>
  </si>
  <si>
    <t>深圳市南山区西丽街道麻磡社区奇星工业园5号整套</t>
  </si>
  <si>
    <t xml:space="preserve">日期（Date）:     </t>
  </si>
  <si>
    <t>电话/传真（Tel/Fax):</t>
  </si>
  <si>
    <t xml:space="preserve">签订地点（Signed at）:  </t>
  </si>
  <si>
    <t>深圳</t>
  </si>
  <si>
    <t>买方（The buyer):</t>
  </si>
  <si>
    <t>俊興貿易公司</t>
  </si>
  <si>
    <t>新蒲崗大有街3號萬迪廣場12樓E室</t>
  </si>
  <si>
    <t>兹经买卖双方同意按照以下条款和条件买卖下述产品：</t>
  </si>
  <si>
    <t>The seller hereby agrees to sell the buyer and buyer agrees to buy from the seller the under 
mentioned commodities subject to the terms and conditions set forth hereinafter as follower:</t>
  </si>
  <si>
    <t>stipulated below:</t>
  </si>
  <si>
    <t>（1）商品</t>
  </si>
  <si>
    <t>货物名称、型号</t>
  </si>
  <si>
    <t>品牌</t>
  </si>
  <si>
    <t>数量(KG)</t>
  </si>
  <si>
    <t xml:space="preserve">单价(RMB)          </t>
  </si>
  <si>
    <t xml:space="preserve">金额 (RMB)     </t>
  </si>
  <si>
    <t>Description of Commodity、 Model</t>
  </si>
  <si>
    <t>BRAND</t>
  </si>
  <si>
    <t xml:space="preserve"> QUANTITY</t>
  </si>
  <si>
    <t>U.PRICE</t>
  </si>
  <si>
    <t>AMOUNT</t>
  </si>
  <si>
    <t>合計</t>
  </si>
  <si>
    <t>总计（Total）：</t>
  </si>
  <si>
    <t>(2)包装（Packing):</t>
  </si>
  <si>
    <t>按客户要求包装</t>
  </si>
  <si>
    <t>(3)装运唛头（Shipping Marks):</t>
  </si>
  <si>
    <t>无</t>
  </si>
  <si>
    <t>(4)装运条款（Terms of Shipment):</t>
  </si>
  <si>
    <t>按客户要求装运</t>
  </si>
  <si>
    <t>(5)装运日期（Date of Shipment)：</t>
  </si>
  <si>
    <t>2026年1月-2026年12月</t>
  </si>
  <si>
    <t>(6)装运港（Port of Shipment):</t>
  </si>
  <si>
    <t>深圳湾口岸</t>
  </si>
  <si>
    <t>(7)目的港（Port of Destination):</t>
  </si>
  <si>
    <t>香港</t>
  </si>
  <si>
    <t>(8)分批装运（Transhipment):   允许（ALLOWED)</t>
  </si>
  <si>
    <t>(9)付款条件（Terms of payment）: 银行转帐</t>
  </si>
  <si>
    <t xml:space="preserve">(10)违约责任
     Liability for breach of contract
   （10.1）因卖方交货延迟原因致使买方的出口合同不能履行的，买方有权解除本合同，卖方应赔偿买方因此产生的一切损失。
If by Seller's delay of the production time make the Buyer failed perform the contract ,The Buyer has the right to cancel this contract, the Seller should burden the loss.
</t>
  </si>
  <si>
    <t>（10.2）买方应以最初确认的客观实物的材质和下订单前确认的形状尺寸作为验货的标准，如卖方由于其他非人为的自然因素，无法按时交货，将不属被索赔范围之内。
The inspection of the Buyer should based the standard as which initial model confirmed. If the Seller can not delivery the goods on time due to other non-human natural factors it will be not in the scope of the claim.</t>
  </si>
  <si>
    <t>(11)本合同共 两 份，自双方代表签字（盖章）之日起生效。</t>
  </si>
  <si>
    <t xml:space="preserve">    This contract is in 2 copies, effective since being singed by both parties.</t>
  </si>
  <si>
    <t xml:space="preserve">   卖方（Sellers):</t>
  </si>
  <si>
    <t>买方（Buyers):</t>
  </si>
  <si>
    <t xml:space="preserve">   （盖章Stamp） ：                                    （盖章Stamp）：</t>
  </si>
  <si>
    <t xml:space="preserve">    签订日期：                                          签订日期：</t>
  </si>
  <si>
    <t xml:space="preserve">    Signing date:                                       Signing date：              </t>
  </si>
  <si>
    <t>TO:俊興貿易公司</t>
  </si>
  <si>
    <t>INVOICE</t>
  </si>
  <si>
    <t>Port of loading:深圳湾口岸</t>
  </si>
  <si>
    <t>Destination:香港</t>
  </si>
  <si>
    <t>DESCRIPTION</t>
  </si>
  <si>
    <t>QUANTITY(Kg)</t>
  </si>
  <si>
    <t>UNIT PRICE(RMB)</t>
  </si>
  <si>
    <t>AMOUNT(RMB)</t>
  </si>
  <si>
    <t>TOTAL 
CTNS</t>
  </si>
  <si>
    <t>PACKING   LIST</t>
  </si>
  <si>
    <t xml:space="preserve">TO:  </t>
  </si>
  <si>
    <t>Chun Hing Trading Co.</t>
  </si>
  <si>
    <t>DATE:</t>
  </si>
  <si>
    <t>INVOICE NO.:</t>
  </si>
  <si>
    <t>CONTRACK NO:</t>
  </si>
  <si>
    <t>Q'TY</t>
  </si>
  <si>
    <t>N.W(kg)</t>
  </si>
  <si>
    <t>G.W(kg)</t>
  </si>
  <si>
    <t>PACKING()</t>
  </si>
  <si>
    <t>TOTAL</t>
  </si>
  <si>
    <t>CTNS</t>
  </si>
  <si>
    <t>kg</t>
  </si>
  <si>
    <t>报关出口明细表：</t>
  </si>
  <si>
    <t>出货日期</t>
  </si>
  <si>
    <t>产品名称</t>
  </si>
  <si>
    <t>品種</t>
  </si>
  <si>
    <t>数量</t>
  </si>
  <si>
    <t>裝箱數</t>
  </si>
  <si>
    <t>单个净重</t>
  </si>
  <si>
    <t>总净重</t>
  </si>
  <si>
    <t>单个毛重</t>
  </si>
  <si>
    <t>总毛重</t>
  </si>
  <si>
    <t>出口单价（RMB）</t>
  </si>
  <si>
    <t>出口金额（RMB）</t>
  </si>
  <si>
    <t>供應商</t>
  </si>
  <si>
    <t>發票編號</t>
  </si>
  <si>
    <t>报关单号</t>
  </si>
  <si>
    <t>六联单号</t>
  </si>
  <si>
    <t>參考</t>
  </si>
  <si>
    <t>深圳興明發</t>
  </si>
  <si>
    <t>台山本源</t>
  </si>
  <si>
    <t>江苏徐洲青青紙制品</t>
  </si>
  <si>
    <t>溫洲捷弗瑞材料有限公司</t>
  </si>
  <si>
    <t>東莞中央化學</t>
  </si>
  <si>
    <t>旺盟(上海)新材料科技有限公司</t>
  </si>
  <si>
    <t>東莞美星</t>
  </si>
  <si>
    <t>深圳豐園</t>
  </si>
  <si>
    <t>汕頭韓盛</t>
  </si>
  <si>
    <t>東莞茂盈</t>
  </si>
  <si>
    <t xml:space="preserve">韶能集团绿洲生态(新丰)科技有限公司 </t>
  </si>
  <si>
    <t>台山長江</t>
  </si>
  <si>
    <t>注塑</t>
  </si>
  <si>
    <t>产品型号</t>
  </si>
  <si>
    <t>廠家</t>
  </si>
  <si>
    <t>箱數</t>
  </si>
  <si>
    <t>凈重</t>
  </si>
  <si>
    <t>不含稅價</t>
  </si>
  <si>
    <t>稅點</t>
  </si>
  <si>
    <t>廠稅價</t>
  </si>
  <si>
    <t>數量</t>
  </si>
  <si>
    <t>總凈重量</t>
  </si>
  <si>
    <t>總毛重量</t>
  </si>
  <si>
    <t>總廠稅價</t>
  </si>
  <si>
    <t>總報關價</t>
  </si>
  <si>
    <t>塑料餐具飯盒</t>
  </si>
  <si>
    <t>HS1安杯</t>
  </si>
  <si>
    <t>塑料餐具：杯</t>
  </si>
  <si>
    <t>2000</t>
  </si>
  <si>
    <t>HS2安杯</t>
  </si>
  <si>
    <t>HS3安杯</t>
  </si>
  <si>
    <t>HS142蓋</t>
  </si>
  <si>
    <t>塑料碗蓋</t>
  </si>
  <si>
    <t>600</t>
  </si>
  <si>
    <t>Y1000美式圓碗</t>
  </si>
  <si>
    <t>塑料餐具：碗</t>
  </si>
  <si>
    <t>150</t>
  </si>
  <si>
    <t>HS500圓盒</t>
  </si>
  <si>
    <t>300</t>
  </si>
  <si>
    <t>HS500圓碗(底)</t>
  </si>
  <si>
    <t>Y1200碗</t>
  </si>
  <si>
    <t>Y1350碗</t>
  </si>
  <si>
    <t>HS1500碗</t>
  </si>
  <si>
    <t>HS1750碗</t>
  </si>
  <si>
    <t>HS1000+</t>
  </si>
  <si>
    <t>塑料餐具：飯盒</t>
  </si>
  <si>
    <t>HS1000方盒</t>
  </si>
  <si>
    <t>HS1250美式</t>
  </si>
  <si>
    <t>Hs1500美式</t>
  </si>
  <si>
    <t>Hs2000美式</t>
  </si>
  <si>
    <t>Hs2000美式底</t>
  </si>
  <si>
    <t>HS內格</t>
  </si>
  <si>
    <t>塑料餐具：碟</t>
  </si>
  <si>
    <t>HS三格</t>
  </si>
  <si>
    <t>HS三格圓</t>
  </si>
  <si>
    <t>HS四格方</t>
  </si>
  <si>
    <t>HS2500盆</t>
  </si>
  <si>
    <t>改東莞出</t>
  </si>
  <si>
    <t>快快樂1000美式</t>
  </si>
  <si>
    <t>快快樂1200美式</t>
  </si>
  <si>
    <t>快快樂1000碗</t>
  </si>
  <si>
    <t>容海500</t>
  </si>
  <si>
    <t>興明發500底</t>
  </si>
  <si>
    <t>興明發1250碗</t>
  </si>
  <si>
    <t>興明發1250黑碗</t>
  </si>
  <si>
    <t>興年華999黑碗</t>
  </si>
  <si>
    <t>興年華1000碗</t>
  </si>
  <si>
    <t>興年華142蓋</t>
  </si>
  <si>
    <t>興年華1500美式</t>
  </si>
  <si>
    <t>騰輝1200</t>
  </si>
  <si>
    <t>WDK500</t>
  </si>
  <si>
    <t>WDK650</t>
  </si>
  <si>
    <t>WDK750</t>
  </si>
  <si>
    <t>WDK1000</t>
  </si>
  <si>
    <t>美星三格盒</t>
  </si>
  <si>
    <t>200</t>
  </si>
  <si>
    <t>美星750盒</t>
  </si>
  <si>
    <t>美星1000盒</t>
  </si>
  <si>
    <t>美星450碗</t>
  </si>
  <si>
    <t>美星700碗</t>
  </si>
  <si>
    <t>美星1000碗</t>
  </si>
  <si>
    <t>美星四格</t>
  </si>
  <si>
    <t>MX-C700</t>
  </si>
  <si>
    <t>Mx380碗</t>
  </si>
  <si>
    <t>Mx800</t>
  </si>
  <si>
    <t>Mx500</t>
  </si>
  <si>
    <t>圆1500</t>
  </si>
  <si>
    <t>六角碗1000ml</t>
  </si>
  <si>
    <t>750椭圆形</t>
  </si>
  <si>
    <t>圆1200</t>
  </si>
  <si>
    <t>50酱杯</t>
  </si>
  <si>
    <t>500注塑磨砂杯</t>
  </si>
  <si>
    <t>東莞伟利兴</t>
  </si>
  <si>
    <t>EP55</t>
  </si>
  <si>
    <t>EP33</t>
  </si>
  <si>
    <t>EP28S</t>
  </si>
  <si>
    <t>EP88</t>
  </si>
  <si>
    <t>Total:</t>
  </si>
  <si>
    <t>塑料餐盒</t>
  </si>
  <si>
    <t>中央CTP115盒</t>
  </si>
  <si>
    <t>塑料制品：塑料餐盒</t>
  </si>
  <si>
    <t>900</t>
  </si>
  <si>
    <t>HS9</t>
  </si>
  <si>
    <t>HS6</t>
  </si>
  <si>
    <t>800</t>
  </si>
  <si>
    <t>L1紅黑三格</t>
  </si>
  <si>
    <t>L4</t>
  </si>
  <si>
    <t>L1</t>
  </si>
  <si>
    <t>塑料餐盒蓋</t>
  </si>
  <si>
    <t>中央CTP115蓋</t>
  </si>
  <si>
    <t>塑料制品：塑料餐盒蓋</t>
  </si>
  <si>
    <t>HS9蓋</t>
  </si>
  <si>
    <t>HS6蓋</t>
  </si>
  <si>
    <t>L1紅黑三格蓋</t>
  </si>
  <si>
    <t>L4蓋</t>
  </si>
  <si>
    <t>L1蓋</t>
  </si>
  <si>
    <t>H500</t>
  </si>
  <si>
    <t>500</t>
  </si>
  <si>
    <t>H650</t>
  </si>
  <si>
    <t>H750</t>
  </si>
  <si>
    <t>H1000</t>
  </si>
  <si>
    <t>1000美黑</t>
  </si>
  <si>
    <t>1000美透</t>
  </si>
  <si>
    <t>6828黑</t>
  </si>
  <si>
    <t>DG一28</t>
  </si>
  <si>
    <t>大江環保</t>
  </si>
  <si>
    <t>LS一55</t>
  </si>
  <si>
    <t>LS一55透</t>
  </si>
  <si>
    <t>LS一55白</t>
  </si>
  <si>
    <t>DG一28白</t>
  </si>
  <si>
    <t>DG一23</t>
  </si>
  <si>
    <t>LS一2A</t>
  </si>
  <si>
    <t>400</t>
  </si>
  <si>
    <t>DG-11透</t>
  </si>
  <si>
    <t>DG-11白</t>
  </si>
  <si>
    <t>LS55A白</t>
  </si>
  <si>
    <t>DGT8</t>
  </si>
  <si>
    <t>X11</t>
  </si>
  <si>
    <t>河南海翔新材料科技有限公司</t>
  </si>
  <si>
    <t>Ai6818黄</t>
  </si>
  <si>
    <t>Ai55</t>
  </si>
  <si>
    <t>Ai500</t>
  </si>
  <si>
    <t>Total</t>
  </si>
  <si>
    <t>塑料餐具飯盒蓋</t>
  </si>
  <si>
    <t/>
  </si>
  <si>
    <t>盒蓋</t>
  </si>
  <si>
    <t>塑料飯盒蓋</t>
  </si>
  <si>
    <t>塑料餐具碗</t>
  </si>
  <si>
    <t>H12碗</t>
  </si>
  <si>
    <t>H12白碗</t>
  </si>
  <si>
    <t>H16碗</t>
  </si>
  <si>
    <t>H16白碗</t>
  </si>
  <si>
    <t>H20碗</t>
  </si>
  <si>
    <t>H24碗</t>
  </si>
  <si>
    <t>H24白碗</t>
  </si>
  <si>
    <t>H30碗</t>
  </si>
  <si>
    <t>H30白碗</t>
  </si>
  <si>
    <t>H1100碗</t>
  </si>
  <si>
    <t>H1250碗</t>
  </si>
  <si>
    <t>H1250白碗</t>
  </si>
  <si>
    <t>H1500碗</t>
  </si>
  <si>
    <t>PP-500ml塑料瓶</t>
  </si>
  <si>
    <t>珠海市友科塑料制品有限公司</t>
  </si>
  <si>
    <t>塑料餐具：塑料瓶</t>
  </si>
  <si>
    <t>135</t>
  </si>
  <si>
    <t>300樽</t>
  </si>
  <si>
    <t>辰润</t>
  </si>
  <si>
    <t>330樽</t>
  </si>
  <si>
    <t>500樽</t>
  </si>
  <si>
    <t>500方</t>
  </si>
  <si>
    <t>600樽</t>
  </si>
  <si>
    <t>750樽</t>
  </si>
  <si>
    <t>塑料餐具碗蓋</t>
  </si>
  <si>
    <t>H12-16碗蓋</t>
  </si>
  <si>
    <t>H24-30碗蓋</t>
  </si>
  <si>
    <t>H1250碗蓋</t>
  </si>
  <si>
    <t>850蓋</t>
  </si>
  <si>
    <t>12-20蓋</t>
  </si>
  <si>
    <t>172‌PP蓋</t>
  </si>
  <si>
    <t>塑料餐具碟</t>
  </si>
  <si>
    <t>28MM內格</t>
  </si>
  <si>
    <t>綠保康142 3.5內格</t>
  </si>
  <si>
    <t>發泡膠餐具碟</t>
  </si>
  <si>
    <t>T38</t>
  </si>
  <si>
    <t>發泡膠餐具：碟</t>
  </si>
  <si>
    <t>T34</t>
  </si>
  <si>
    <t>T316</t>
  </si>
  <si>
    <t>T36</t>
  </si>
  <si>
    <t>紙餐具</t>
  </si>
  <si>
    <t>SAM</t>
  </si>
  <si>
    <t>7"甘蔗圓碟(加厚)</t>
  </si>
  <si>
    <t>紙餐具：碟</t>
  </si>
  <si>
    <t>1000</t>
  </si>
  <si>
    <t>10"甘蔗圓碟（不报）</t>
  </si>
  <si>
    <t>2安甘蔗杯</t>
  </si>
  <si>
    <t>紙餐具：杯</t>
  </si>
  <si>
    <t>2安甘蔗杯蓋</t>
  </si>
  <si>
    <t>紙餐具：杯蓋</t>
  </si>
  <si>
    <t>4安甘蔗杯</t>
  </si>
  <si>
    <t>小旦碟</t>
  </si>
  <si>
    <t>4安甘蔗杯蓋</t>
  </si>
  <si>
    <t>6"甘蔗旦碟</t>
  </si>
  <si>
    <t>浙江福昌环保科技有限公司</t>
  </si>
  <si>
    <t>7"甘蔗圓碟</t>
  </si>
  <si>
    <t>江苏金晟环保餐具有限公司</t>
  </si>
  <si>
    <t>7.5"甘蔗旦碟</t>
  </si>
  <si>
    <t>9"甘蔗圓碟</t>
  </si>
  <si>
    <t>10"甘蔗圓碟</t>
  </si>
  <si>
    <t>8安甘蔗蓋</t>
  </si>
  <si>
    <t>青橄榄环保科技（东莞）有限公司</t>
  </si>
  <si>
    <t>1-2安甘蔗杯</t>
  </si>
  <si>
    <t>1安甘蔗杯</t>
  </si>
  <si>
    <t>1000甘蔗盒</t>
  </si>
  <si>
    <t>浙江众鑫环保科技集团股份有限公司</t>
  </si>
  <si>
    <t>紙餐具：飯盒</t>
  </si>
  <si>
    <t>1000甘蔗盒盖</t>
  </si>
  <si>
    <t xml:space="preserve"> 紙餐具：飯盒蓋</t>
  </si>
  <si>
    <t>9"甘蔗三格圓碟</t>
  </si>
  <si>
    <t>紙杯</t>
  </si>
  <si>
    <t>8安白杯</t>
  </si>
  <si>
    <t>280 8安花紙杯</t>
  </si>
  <si>
    <t>250 8安花紙杯</t>
  </si>
  <si>
    <t>紙盒</t>
  </si>
  <si>
    <t>500紙盒</t>
  </si>
  <si>
    <t>650紙盒</t>
  </si>
  <si>
    <t>580紙盒</t>
  </si>
  <si>
    <t>750紙盒</t>
  </si>
  <si>
    <t>880紙盒</t>
  </si>
  <si>
    <t>1000紙盒</t>
  </si>
  <si>
    <t>172紙蓋</t>
  </si>
  <si>
    <t>紙碗</t>
  </si>
  <si>
    <t>12安紙碗</t>
  </si>
  <si>
    <t>紙餐具：碗</t>
  </si>
  <si>
    <t>16安紙碗</t>
  </si>
  <si>
    <t>20安紙碗</t>
  </si>
  <si>
    <t>22安紙碗</t>
  </si>
  <si>
    <t>30安紙碗</t>
  </si>
  <si>
    <t>35安紙碗</t>
  </si>
  <si>
    <t>6*197 三層紙飲管</t>
  </si>
  <si>
    <t>紙吸管</t>
  </si>
  <si>
    <t>6*197三層獨立紙包</t>
  </si>
  <si>
    <t>6*197 四層紙飲管</t>
  </si>
  <si>
    <t>6*197四層獨立紙包</t>
  </si>
  <si>
    <t>7*197 四層紙飲管</t>
  </si>
  <si>
    <t>7*197四層獨立紙包</t>
  </si>
  <si>
    <t>12*197 三層紙飲管</t>
  </si>
  <si>
    <t>12*197 四層紙飲管</t>
  </si>
  <si>
    <t>12*197四層獨立紙包</t>
  </si>
  <si>
    <t>12*230(4)</t>
  </si>
  <si>
    <t>12*230(4)cut</t>
  </si>
  <si>
    <t>甘蔗中更</t>
  </si>
  <si>
    <t>河北稻香环保科技有限公司</t>
  </si>
  <si>
    <t>紙餐具：中更</t>
  </si>
  <si>
    <t>河北山楂树</t>
  </si>
  <si>
    <t>總箱數</t>
  </si>
  <si>
    <t>箱</t>
  </si>
  <si>
    <t>總凈重</t>
  </si>
  <si>
    <t>KG</t>
  </si>
  <si>
    <t>總毛重</t>
  </si>
  <si>
    <t>總價錢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</si>
</sst>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480]* #,##0.00_ ;_ [$¥-480]* \-#,##0.00_ ;_ [$¥-480]* &quot;-&quot;??_ ;_ @_ "/>
    <numFmt numFmtId="177" formatCode="_ [$¥-850]* #,##0.00_ ;_ [$¥-850]* \-#,##0.00_ ;_ [$¥-850]* &quot;-&quot;??_ ;_ @_ "/>
    <numFmt numFmtId="178" formatCode="_ [$¥-804]* #,##0.00_ ;_ [$¥-804]* \-#,##0.00_ ;_ [$¥-804]* &quot;-&quot;??_ ;_ @_ "/>
    <numFmt numFmtId="179" formatCode="0.00_ "/>
    <numFmt numFmtId="180" formatCode="0.00_);[Red]\(0.00\)"/>
    <numFmt numFmtId="181" formatCode="&quot;（&quot;@&quot;）&quot;"/>
  </numFmts>
  <fonts count="48">
    <font>
      <sz val="11"/>
      <name val="宋体"/>
      <charset val="134"/>
    </font>
    <font>
      <sz val="11"/>
      <color rgb="FF000000"/>
      <name val="宋体"/>
      <charset val="134"/>
    </font>
    <font>
      <sz val="11"/>
      <color rgb="FFFF0000"/>
      <name val="宋体"/>
      <charset val="136"/>
    </font>
    <font>
      <sz val="11"/>
      <color rgb="FF000000"/>
      <name val="宋体"/>
      <charset val="136"/>
    </font>
    <font>
      <sz val="11"/>
      <color rgb="FF4874CB"/>
      <name val="宋体"/>
      <charset val="136"/>
    </font>
    <font>
      <sz val="12"/>
      <color rgb="FFFF0000"/>
      <name val="宋体"/>
      <charset val="136"/>
    </font>
    <font>
      <sz val="12"/>
      <color rgb="FF000000"/>
      <name val="宋体"/>
      <charset val="136"/>
    </font>
    <font>
      <sz val="11"/>
      <name val="宋体"/>
      <charset val="136"/>
    </font>
    <font>
      <i/>
      <sz val="11"/>
      <color rgb="FF000000"/>
      <name val="宋体"/>
      <charset val="136"/>
    </font>
    <font>
      <b/>
      <sz val="14"/>
      <color rgb="FF000000"/>
      <name val="宋体"/>
      <charset val="136"/>
    </font>
    <font>
      <b/>
      <sz val="11"/>
      <color rgb="FF000000"/>
      <name val="宋体"/>
      <charset val="136"/>
    </font>
    <font>
      <b/>
      <sz val="11"/>
      <color rgb="FFFF0000"/>
      <name val="宋体"/>
      <charset val="136"/>
    </font>
    <font>
      <b/>
      <sz val="20"/>
      <color rgb="FF000000"/>
      <name val="宋体"/>
      <charset val="136"/>
    </font>
    <font>
      <b/>
      <sz val="10"/>
      <color rgb="FF000000"/>
      <name val="宋体"/>
      <charset val="136"/>
    </font>
    <font>
      <b/>
      <sz val="18"/>
      <color rgb="FF000000"/>
      <name val="宋体"/>
      <charset val="136"/>
    </font>
    <font>
      <sz val="9"/>
      <color rgb="FF000000"/>
      <name val="宋体"/>
      <charset val="136"/>
    </font>
    <font>
      <b/>
      <i/>
      <sz val="10"/>
      <color rgb="FF000000"/>
      <name val="Times New Roman"/>
      <charset val="134"/>
    </font>
    <font>
      <b/>
      <i/>
      <sz val="9"/>
      <name val="MingLiU-ExtB"/>
      <charset val="136"/>
    </font>
    <font>
      <b/>
      <i/>
      <sz val="11"/>
      <color rgb="FF000000"/>
      <name val="宋体"/>
      <charset val="136"/>
    </font>
    <font>
      <sz val="11"/>
      <color indexed="8"/>
      <name val="宋体"/>
      <charset val="134"/>
    </font>
    <font>
      <b/>
      <sz val="16"/>
      <color rgb="FF000000"/>
      <name val="宋体"/>
      <charset val="136"/>
    </font>
    <font>
      <b/>
      <sz val="12"/>
      <color rgb="FF000000"/>
      <name val="宋体"/>
      <charset val="136"/>
    </font>
    <font>
      <sz val="10"/>
      <name val="宋体"/>
      <charset val="134"/>
    </font>
    <font>
      <sz val="12"/>
      <name val="宋体"/>
      <charset val="134"/>
    </font>
    <font>
      <b/>
      <sz val="14"/>
      <name val="宋体"/>
      <charset val="134"/>
    </font>
    <font>
      <b/>
      <sz val="11"/>
      <name val="宋体"/>
      <charset val="134"/>
    </font>
    <font>
      <sz val="8"/>
      <name val="宋体"/>
      <charset val="134"/>
    </font>
    <font>
      <sz val="11"/>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8" fillId="0" borderId="0">
      <alignment vertical="center"/>
    </xf>
    <xf numFmtId="44" fontId="28" fillId="0" borderId="0">
      <alignment vertical="center"/>
    </xf>
    <xf numFmtId="9" fontId="3" fillId="0" borderId="0">
      <protection locked="0"/>
    </xf>
    <xf numFmtId="41" fontId="28" fillId="0" borderId="0">
      <alignment vertical="center"/>
    </xf>
    <xf numFmtId="42" fontId="28" fillId="0" borderId="0">
      <alignment vertical="center"/>
    </xf>
    <xf numFmtId="0" fontId="29" fillId="0" borderId="0">
      <alignment vertical="center"/>
    </xf>
    <xf numFmtId="0" fontId="30" fillId="0" borderId="0">
      <alignment vertical="center"/>
    </xf>
    <xf numFmtId="0" fontId="28" fillId="4" borderId="16">
      <alignment vertical="center"/>
    </xf>
    <xf numFmtId="0" fontId="31" fillId="0" borderId="0">
      <alignment vertical="center"/>
    </xf>
    <xf numFmtId="0" fontId="32" fillId="0" borderId="0">
      <alignment vertical="center"/>
    </xf>
    <xf numFmtId="0" fontId="33" fillId="0" borderId="0">
      <alignment vertical="center"/>
    </xf>
    <xf numFmtId="0" fontId="34" fillId="0" borderId="17">
      <alignment vertical="center"/>
    </xf>
    <xf numFmtId="0" fontId="35" fillId="0" borderId="17">
      <alignment vertical="center"/>
    </xf>
    <xf numFmtId="0" fontId="36" fillId="0" borderId="18">
      <alignment vertical="center"/>
    </xf>
    <xf numFmtId="0" fontId="36" fillId="0" borderId="0">
      <alignment vertical="center"/>
    </xf>
    <xf numFmtId="0" fontId="37" fillId="5" borderId="19">
      <alignment vertical="center"/>
    </xf>
    <xf numFmtId="0" fontId="38" fillId="6" borderId="20">
      <alignment vertical="center"/>
    </xf>
    <xf numFmtId="0" fontId="39" fillId="6" borderId="19">
      <alignment vertical="center"/>
    </xf>
    <xf numFmtId="0" fontId="40" fillId="7" borderId="21">
      <alignment vertical="center"/>
    </xf>
    <xf numFmtId="0" fontId="41" fillId="0" borderId="22">
      <alignment vertical="center"/>
    </xf>
    <xf numFmtId="0" fontId="42" fillId="0" borderId="23">
      <alignment vertical="center"/>
    </xf>
    <xf numFmtId="0" fontId="43" fillId="8" borderId="0">
      <alignment vertical="center"/>
    </xf>
    <xf numFmtId="0" fontId="44" fillId="9" borderId="0">
      <alignment vertical="center"/>
    </xf>
    <xf numFmtId="0" fontId="45" fillId="10" borderId="0">
      <alignment vertical="center"/>
    </xf>
    <xf numFmtId="0" fontId="46" fillId="11" borderId="0">
      <alignment vertical="center"/>
    </xf>
    <xf numFmtId="0" fontId="47" fillId="12" borderId="0">
      <alignment vertical="center"/>
    </xf>
    <xf numFmtId="0" fontId="47" fillId="13" borderId="0">
      <alignment vertical="center"/>
    </xf>
    <xf numFmtId="0" fontId="46" fillId="14" borderId="0">
      <alignment vertical="center"/>
    </xf>
    <xf numFmtId="0" fontId="46" fillId="15" borderId="0">
      <alignment vertical="center"/>
    </xf>
    <xf numFmtId="0" fontId="47" fillId="16" borderId="0">
      <alignment vertical="center"/>
    </xf>
    <xf numFmtId="0" fontId="47" fillId="17" borderId="0">
      <alignment vertical="center"/>
    </xf>
    <xf numFmtId="0" fontId="46" fillId="18" borderId="0">
      <alignment vertical="center"/>
    </xf>
    <xf numFmtId="0" fontId="46" fillId="19" borderId="0">
      <alignment vertical="center"/>
    </xf>
    <xf numFmtId="0" fontId="47" fillId="20" borderId="0">
      <alignment vertical="center"/>
    </xf>
    <xf numFmtId="0" fontId="47" fillId="21" borderId="0">
      <alignment vertical="center"/>
    </xf>
    <xf numFmtId="0" fontId="46" fillId="22" borderId="0">
      <alignment vertical="center"/>
    </xf>
    <xf numFmtId="0" fontId="46" fillId="23" borderId="0">
      <alignment vertical="center"/>
    </xf>
    <xf numFmtId="0" fontId="47" fillId="24" borderId="0">
      <alignment vertical="center"/>
    </xf>
    <xf numFmtId="0" fontId="47" fillId="25" borderId="0">
      <alignment vertical="center"/>
    </xf>
    <xf numFmtId="0" fontId="46" fillId="26" borderId="0">
      <alignment vertical="center"/>
    </xf>
    <xf numFmtId="0" fontId="46" fillId="27" borderId="0">
      <alignment vertical="center"/>
    </xf>
    <xf numFmtId="0" fontId="47" fillId="28" borderId="0">
      <alignment vertical="center"/>
    </xf>
    <xf numFmtId="0" fontId="47" fillId="29" borderId="0">
      <alignment vertical="center"/>
    </xf>
    <xf numFmtId="0" fontId="46" fillId="30" borderId="0">
      <alignment vertical="center"/>
    </xf>
    <xf numFmtId="0" fontId="46" fillId="31" borderId="0">
      <alignment vertical="center"/>
    </xf>
    <xf numFmtId="0" fontId="47" fillId="32" borderId="0">
      <alignment vertical="center"/>
    </xf>
    <xf numFmtId="0" fontId="47" fillId="33" borderId="0">
      <alignment vertical="center"/>
    </xf>
    <xf numFmtId="0" fontId="46" fillId="34" borderId="0">
      <alignment vertical="center"/>
    </xf>
  </cellStyleXfs>
  <cellXfs count="162">
    <xf numFmtId="0" fontId="0" fillId="0" borderId="0" xfId="0" applyAlignment="1">
      <alignment vertical="center"/>
    </xf>
    <xf numFmtId="0" fontId="0" fillId="0" borderId="0" xfId="0" applyAlignment="1"/>
    <xf numFmtId="0" fontId="1" fillId="0" borderId="0" xfId="0" applyFont="1" applyAlignment="1"/>
    <xf numFmtId="0" fontId="1" fillId="0" borderId="0" xfId="0" applyFont="1" applyFill="1" applyAlignment="1"/>
    <xf numFmtId="0" fontId="2" fillId="0" borderId="0" xfId="0" applyFont="1" applyAlignment="1"/>
    <xf numFmtId="0" fontId="1" fillId="0" borderId="0" xfId="0" applyFont="1" applyAlignment="1">
      <alignment horizontal="center"/>
    </xf>
    <xf numFmtId="14" fontId="3" fillId="0" borderId="0" xfId="0" applyNumberFormat="1" applyFont="1" applyAlignment="1"/>
    <xf numFmtId="0" fontId="3" fillId="0" borderId="0" xfId="0" applyFont="1" applyAlignment="1"/>
    <xf numFmtId="0" fontId="3"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vertical="center"/>
    </xf>
    <xf numFmtId="176" fontId="4" fillId="0" borderId="0" xfId="0" applyNumberFormat="1" applyFont="1" applyAlignment="1">
      <alignment vertical="center"/>
    </xf>
    <xf numFmtId="176" fontId="2" fillId="0" borderId="0" xfId="0" applyNumberFormat="1" applyFont="1" applyAlignment="1">
      <alignment vertical="center"/>
    </xf>
    <xf numFmtId="49" fontId="1" fillId="0" borderId="0" xfId="0" applyNumberFormat="1" applyFont="1" applyAlignment="1">
      <alignment horizontal="center" vertical="center"/>
    </xf>
    <xf numFmtId="176" fontId="3" fillId="0" borderId="0" xfId="0" applyNumberFormat="1" applyFont="1" applyAlignment="1">
      <alignment horizontal="center" vertical="center"/>
    </xf>
    <xf numFmtId="49" fontId="3" fillId="0" borderId="0" xfId="0" applyNumberFormat="1" applyFont="1" applyAlignment="1">
      <alignment horizontal="center" vertical="center"/>
    </xf>
    <xf numFmtId="9" fontId="3" fillId="0" borderId="0" xfId="0" applyNumberFormat="1" applyFont="1" applyAlignment="1">
      <alignment horizontal="center" vertical="center"/>
    </xf>
    <xf numFmtId="177" fontId="1" fillId="0" borderId="0" xfId="0" applyNumberFormat="1" applyFont="1" applyAlignment="1">
      <alignment horizontal="center" vertical="center"/>
    </xf>
    <xf numFmtId="0" fontId="1" fillId="0" borderId="0" xfId="3" applyNumberFormat="1" applyFont="1" applyAlignment="1" applyProtection="1">
      <alignment horizontal="center" vertical="center"/>
    </xf>
    <xf numFmtId="177" fontId="1" fillId="0" borderId="0" xfId="0" applyNumberFormat="1" applyFont="1" applyAlignment="1"/>
    <xf numFmtId="49" fontId="1" fillId="2" borderId="0" xfId="0" applyNumberFormat="1" applyFont="1" applyFill="1" applyAlignment="1">
      <alignment horizontal="center" vertical="center"/>
    </xf>
    <xf numFmtId="49" fontId="5" fillId="0" borderId="0" xfId="0" applyNumberFormat="1" applyFont="1" applyAlignment="1">
      <alignment horizontal="center" vertical="center"/>
    </xf>
    <xf numFmtId="49" fontId="6" fillId="0" borderId="0" xfId="0" applyNumberFormat="1" applyFont="1" applyAlignment="1">
      <alignment horizontal="center" vertical="center"/>
    </xf>
    <xf numFmtId="49" fontId="5" fillId="2" borderId="0" xfId="0" applyNumberFormat="1" applyFont="1" applyFill="1" applyAlignment="1">
      <alignment horizontal="center" vertical="center"/>
    </xf>
    <xf numFmtId="177" fontId="1" fillId="2" borderId="0" xfId="0" applyNumberFormat="1" applyFont="1" applyFill="1" applyAlignment="1">
      <alignment horizontal="center" vertical="center"/>
    </xf>
    <xf numFmtId="0" fontId="1" fillId="2" borderId="0" xfId="0" applyFont="1" applyFill="1" applyAlignment="1">
      <alignment horizontal="center" vertical="center"/>
    </xf>
    <xf numFmtId="176" fontId="2" fillId="2" borderId="0" xfId="0" applyNumberFormat="1" applyFont="1" applyFill="1" applyAlignment="1">
      <alignment horizontal="center" vertical="center"/>
    </xf>
    <xf numFmtId="49" fontId="2" fillId="0" borderId="0" xfId="0" applyNumberFormat="1" applyFont="1" applyAlignment="1">
      <alignment horizontal="center" vertical="center"/>
    </xf>
    <xf numFmtId="176" fontId="2" fillId="0" borderId="0" xfId="0" applyNumberFormat="1" applyFont="1" applyAlignment="1">
      <alignment horizontal="center" vertical="center"/>
    </xf>
    <xf numFmtId="49" fontId="4" fillId="0" borderId="0" xfId="0" applyNumberFormat="1" applyFont="1" applyAlignment="1">
      <alignment vertical="center"/>
    </xf>
    <xf numFmtId="176" fontId="7" fillId="0" borderId="0" xfId="0" applyNumberFormat="1" applyFont="1" applyAlignment="1">
      <alignment horizontal="center" vertical="center"/>
    </xf>
    <xf numFmtId="49" fontId="4" fillId="0" borderId="0" xfId="0" applyNumberFormat="1" applyFont="1" applyAlignment="1">
      <alignment horizontal="center" vertical="center"/>
    </xf>
    <xf numFmtId="176" fontId="7" fillId="2" borderId="0" xfId="0" applyNumberFormat="1" applyFont="1" applyFill="1" applyAlignment="1">
      <alignment horizontal="center" vertical="center"/>
    </xf>
    <xf numFmtId="0" fontId="8" fillId="0" borderId="0" xfId="0" applyFont="1" applyAlignment="1">
      <alignment horizontal="center" vertical="center"/>
    </xf>
    <xf numFmtId="49" fontId="1" fillId="0" borderId="0" xfId="0" applyNumberFormat="1" applyFont="1" applyFill="1" applyAlignment="1">
      <alignment horizontal="center" vertical="center"/>
    </xf>
    <xf numFmtId="0" fontId="1" fillId="0" borderId="0" xfId="0" applyFont="1" applyFill="1" applyAlignment="1">
      <alignment horizontal="center" vertical="center"/>
    </xf>
    <xf numFmtId="176" fontId="3" fillId="0" borderId="0" xfId="0" applyNumberFormat="1" applyFont="1" applyFill="1" applyAlignment="1">
      <alignment horizontal="center" vertical="center"/>
    </xf>
    <xf numFmtId="49" fontId="3" fillId="0" borderId="0" xfId="0" applyNumberFormat="1" applyFont="1" applyFill="1" applyAlignment="1">
      <alignment horizontal="center" vertical="center"/>
    </xf>
    <xf numFmtId="0" fontId="3" fillId="0" borderId="0" xfId="0" applyFont="1" applyFill="1" applyAlignment="1">
      <alignment horizontal="center" vertical="center"/>
    </xf>
    <xf numFmtId="9" fontId="3" fillId="0" borderId="0" xfId="0" applyNumberFormat="1" applyFont="1" applyFill="1" applyAlignment="1">
      <alignment horizontal="center" vertical="center"/>
    </xf>
    <xf numFmtId="177" fontId="1" fillId="0" borderId="0" xfId="0" applyNumberFormat="1" applyFont="1" applyFill="1" applyAlignment="1">
      <alignment horizontal="center" vertical="center"/>
    </xf>
    <xf numFmtId="177" fontId="1" fillId="0" borderId="0" xfId="0" applyNumberFormat="1" applyFont="1" applyFill="1" applyAlignment="1"/>
    <xf numFmtId="10" fontId="3" fillId="0" borderId="0" xfId="0" applyNumberFormat="1" applyFont="1" applyAlignment="1">
      <alignment horizontal="center" vertical="center"/>
    </xf>
    <xf numFmtId="0" fontId="2" fillId="0" borderId="0" xfId="0" applyFont="1" applyAlignment="1">
      <alignment horizontal="center" vertical="center"/>
    </xf>
    <xf numFmtId="9" fontId="2" fillId="0" borderId="0" xfId="0" applyNumberFormat="1" applyFont="1" applyAlignment="1">
      <alignment horizontal="center" vertical="center"/>
    </xf>
    <xf numFmtId="0" fontId="1" fillId="2" borderId="0" xfId="0" applyFont="1" applyFill="1" applyAlignment="1">
      <alignment horizontal="center"/>
    </xf>
    <xf numFmtId="177" fontId="2" fillId="0" borderId="0" xfId="0" applyNumberFormat="1" applyFont="1" applyAlignment="1">
      <alignment horizontal="center" vertical="center"/>
    </xf>
    <xf numFmtId="0" fontId="2" fillId="0" borderId="0" xfId="3" applyNumberFormat="1" applyFont="1" applyAlignment="1" applyProtection="1">
      <alignment horizontal="center" vertical="center"/>
    </xf>
    <xf numFmtId="177" fontId="3" fillId="0" borderId="0" xfId="0" applyNumberFormat="1" applyFont="1" applyAlignment="1">
      <alignment horizontal="center" vertical="center"/>
    </xf>
    <xf numFmtId="0" fontId="3" fillId="2" borderId="0" xfId="0" applyFont="1" applyFill="1" applyAlignment="1">
      <alignment horizontal="center"/>
    </xf>
    <xf numFmtId="0" fontId="3" fillId="0" borderId="0" xfId="0" applyFont="1" applyAlignment="1">
      <alignment horizontal="center"/>
    </xf>
    <xf numFmtId="176" fontId="4" fillId="3" borderId="0" xfId="0" applyNumberFormat="1" applyFont="1" applyFill="1" applyAlignment="1">
      <alignment vertical="center"/>
    </xf>
    <xf numFmtId="176" fontId="2" fillId="3" borderId="0" xfId="0" applyNumberFormat="1" applyFont="1" applyFill="1" applyAlignment="1">
      <alignment vertical="center"/>
    </xf>
    <xf numFmtId="0" fontId="3" fillId="0" borderId="1" xfId="0" applyFont="1" applyBorder="1" applyAlignment="1">
      <alignment vertical="center"/>
    </xf>
    <xf numFmtId="178" fontId="3" fillId="0" borderId="0" xfId="0" applyNumberFormat="1" applyFont="1" applyAlignment="1">
      <alignment horizontal="center" vertical="center"/>
    </xf>
    <xf numFmtId="178" fontId="3" fillId="0" borderId="0" xfId="0" applyNumberFormat="1" applyFont="1" applyAlignment="1">
      <alignment horizontal="left" vertical="center"/>
    </xf>
    <xf numFmtId="0" fontId="9" fillId="0" borderId="0" xfId="0" applyFont="1" applyAlignment="1">
      <alignment horizontal="left" vertical="center"/>
    </xf>
    <xf numFmtId="179" fontId="1" fillId="0" borderId="0" xfId="0" applyNumberFormat="1" applyFont="1" applyAlignment="1">
      <alignment horizontal="center" vertical="center"/>
    </xf>
    <xf numFmtId="0" fontId="10" fillId="0" borderId="0" xfId="0" applyFont="1" applyAlignment="1">
      <alignment vertical="center" wrapText="1"/>
    </xf>
    <xf numFmtId="0" fontId="11" fillId="0" borderId="0" xfId="0" applyFont="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179" fontId="10" fillId="0" borderId="2" xfId="0" applyNumberFormat="1" applyFont="1" applyBorder="1" applyAlignment="1">
      <alignment horizontal="center" vertical="center"/>
    </xf>
    <xf numFmtId="14" fontId="1" fillId="0" borderId="3" xfId="0" applyNumberFormat="1" applyFont="1" applyBorder="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vertical="center"/>
    </xf>
    <xf numFmtId="49" fontId="3" fillId="0" borderId="1" xfId="0" applyNumberFormat="1" applyFont="1" applyBorder="1" applyAlignment="1">
      <alignment horizontal="center" vertical="center"/>
    </xf>
    <xf numFmtId="0" fontId="0" fillId="0" borderId="5" xfId="0" applyBorder="1" applyAlignment="1"/>
    <xf numFmtId="0" fontId="3" fillId="0" borderId="6" xfId="0" applyFont="1" applyBorder="1" applyAlignment="1">
      <alignment vertical="center"/>
    </xf>
    <xf numFmtId="0" fontId="0" fillId="0" borderId="6" xfId="0" applyBorder="1" applyAlignment="1"/>
    <xf numFmtId="0" fontId="1" fillId="2" borderId="6" xfId="0" applyFont="1" applyFill="1" applyBorder="1" applyAlignment="1">
      <alignment vertical="center"/>
    </xf>
    <xf numFmtId="0" fontId="3" fillId="2" borderId="1" xfId="0" applyFont="1" applyFill="1" applyBorder="1" applyAlignment="1">
      <alignment horizontal="left" vertical="center"/>
    </xf>
    <xf numFmtId="0" fontId="1" fillId="2" borderId="1" xfId="0" applyFont="1" applyFill="1" applyBorder="1" applyAlignment="1">
      <alignment vertical="center"/>
    </xf>
    <xf numFmtId="179" fontId="1" fillId="2" borderId="1" xfId="0" applyNumberFormat="1" applyFont="1" applyFill="1" applyBorder="1" applyAlignment="1">
      <alignment vertical="center"/>
    </xf>
    <xf numFmtId="0" fontId="1" fillId="2" borderId="7" xfId="0" applyFont="1" applyFill="1" applyBorder="1" applyAlignment="1">
      <alignment vertical="center"/>
    </xf>
    <xf numFmtId="0" fontId="0" fillId="0" borderId="7" xfId="0" applyBorder="1" applyAlignment="1"/>
    <xf numFmtId="0" fontId="2" fillId="0" borderId="0" xfId="0" applyFont="1" applyAlignment="1">
      <alignment vertical="center"/>
    </xf>
    <xf numFmtId="0" fontId="10" fillId="0" borderId="0" xfId="0" applyFont="1" applyAlignment="1">
      <alignment vertical="center"/>
    </xf>
    <xf numFmtId="0" fontId="12" fillId="0" borderId="8" xfId="0" applyFont="1" applyBorder="1" applyAlignment="1">
      <alignment horizontal="center" vertical="center"/>
    </xf>
    <xf numFmtId="0" fontId="13" fillId="0" borderId="8" xfId="0" applyFont="1" applyBorder="1" applyAlignment="1">
      <alignment horizontal="center" vertical="center"/>
    </xf>
    <xf numFmtId="0" fontId="14" fillId="0" borderId="8" xfId="0" applyFont="1" applyBorder="1" applyAlignment="1">
      <alignment vertical="center"/>
    </xf>
    <xf numFmtId="0" fontId="14" fillId="0" borderId="0" xfId="0" applyFont="1" applyAlignment="1">
      <alignment vertical="center"/>
    </xf>
    <xf numFmtId="0" fontId="14" fillId="0" borderId="0" xfId="0" applyFont="1" applyBorder="1" applyAlignment="1">
      <alignment vertical="center"/>
    </xf>
    <xf numFmtId="0" fontId="0" fillId="0" borderId="0" xfId="0" applyBorder="1" applyAlignment="1"/>
    <xf numFmtId="0" fontId="15" fillId="0" borderId="0" xfId="0" applyFont="1" applyBorder="1" applyAlignment="1">
      <alignment vertical="center"/>
    </xf>
    <xf numFmtId="0" fontId="14" fillId="0" borderId="8" xfId="0" applyFont="1" applyBorder="1" applyAlignment="1">
      <alignment horizontal="center" vertical="center"/>
    </xf>
    <xf numFmtId="0" fontId="10" fillId="0" borderId="9" xfId="0" applyFont="1" applyBorder="1" applyAlignment="1">
      <alignment vertical="center"/>
    </xf>
    <xf numFmtId="0" fontId="9" fillId="0" borderId="10" xfId="0" applyFont="1" applyBorder="1" applyAlignment="1">
      <alignment horizontal="center" vertical="center"/>
    </xf>
    <xf numFmtId="0" fontId="0" fillId="0" borderId="10" xfId="0" applyBorder="1" applyAlignment="1"/>
    <xf numFmtId="0" fontId="9" fillId="0" borderId="1" xfId="0" applyFont="1" applyBorder="1" applyAlignment="1">
      <alignment horizontal="center" vertical="center"/>
    </xf>
    <xf numFmtId="0" fontId="0" fillId="0" borderId="1" xfId="0" applyBorder="1" applyAlignment="1"/>
    <xf numFmtId="14" fontId="13" fillId="0" borderId="1" xfId="0" applyNumberFormat="1" applyFont="1" applyBorder="1" applyAlignment="1">
      <alignment horizontal="center" vertical="center"/>
    </xf>
    <xf numFmtId="0" fontId="0" fillId="0" borderId="11" xfId="0" applyBorder="1" applyAlignment="1"/>
    <xf numFmtId="0" fontId="10" fillId="0" borderId="8" xfId="0" applyFont="1" applyBorder="1" applyAlignment="1">
      <alignment vertical="center"/>
    </xf>
    <xf numFmtId="0" fontId="9" fillId="0" borderId="0" xfId="0" applyFont="1" applyAlignment="1">
      <alignment horizontal="center" vertical="center"/>
    </xf>
    <xf numFmtId="0" fontId="0" fillId="0" borderId="12" xfId="0" applyBorder="1" applyAlignment="1"/>
    <xf numFmtId="0" fontId="13" fillId="0" borderId="1" xfId="0" applyFont="1" applyBorder="1" applyAlignment="1">
      <alignment horizontal="center" vertical="center"/>
    </xf>
    <xf numFmtId="0" fontId="1" fillId="0" borderId="2" xfId="0" applyFont="1" applyBorder="1" applyAlignment="1">
      <alignment vertical="center"/>
    </xf>
    <xf numFmtId="0" fontId="1" fillId="0" borderId="12" xfId="0" applyFont="1" applyBorder="1" applyAlignment="1">
      <alignment vertical="center"/>
    </xf>
    <xf numFmtId="0" fontId="1" fillId="0" borderId="11" xfId="0" applyFont="1" applyBorder="1" applyAlignment="1">
      <alignment vertical="center"/>
    </xf>
    <xf numFmtId="0" fontId="16" fillId="0" borderId="1" xfId="0" applyFont="1" applyBorder="1" applyAlignment="1">
      <alignment horizontal="center" vertical="center"/>
    </xf>
    <xf numFmtId="0" fontId="17" fillId="0" borderId="2" xfId="0" applyFont="1" applyBorder="1" applyAlignment="1">
      <alignment horizontal="center" vertical="center"/>
    </xf>
    <xf numFmtId="0" fontId="18" fillId="0" borderId="4" xfId="0" applyFont="1" applyBorder="1" applyAlignment="1">
      <alignment horizontal="center" vertical="center"/>
    </xf>
    <xf numFmtId="0" fontId="0" fillId="0" borderId="3" xfId="0" applyBorder="1" applyAlignment="1"/>
    <xf numFmtId="0" fontId="18" fillId="0" borderId="3" xfId="0" applyFont="1" applyBorder="1" applyAlignment="1">
      <alignment horizontal="center" vertical="center"/>
    </xf>
    <xf numFmtId="0" fontId="19" fillId="0" borderId="0" xfId="0" applyFont="1" applyAlignment="1">
      <alignment horizontal="center" vertical="center"/>
    </xf>
    <xf numFmtId="0" fontId="1" fillId="0" borderId="1" xfId="0" applyFont="1" applyBorder="1" applyAlignment="1">
      <alignment horizontal="center" vertical="center"/>
    </xf>
    <xf numFmtId="0" fontId="1" fillId="0" borderId="8" xfId="0" applyFont="1" applyBorder="1" applyAlignment="1">
      <alignment vertical="center"/>
    </xf>
    <xf numFmtId="0" fontId="10" fillId="0" borderId="13" xfId="0" applyFont="1" applyBorder="1" applyAlignment="1">
      <alignment horizontal="center" vertical="center"/>
    </xf>
    <xf numFmtId="0" fontId="10" fillId="0" borderId="7" xfId="0" applyFont="1" applyBorder="1" applyAlignment="1">
      <alignment vertical="center"/>
    </xf>
    <xf numFmtId="0" fontId="10" fillId="0" borderId="14" xfId="0" applyFont="1" applyBorder="1" applyAlignment="1">
      <alignment vertical="center"/>
    </xf>
    <xf numFmtId="0" fontId="10" fillId="0" borderId="13" xfId="0" applyFont="1" applyBorder="1" applyAlignment="1">
      <alignment vertical="center"/>
    </xf>
    <xf numFmtId="179" fontId="10" fillId="0" borderId="14" xfId="0" applyNumberFormat="1" applyFont="1" applyBorder="1" applyAlignment="1">
      <alignment vertical="center"/>
    </xf>
    <xf numFmtId="0" fontId="13" fillId="0" borderId="15" xfId="0" applyFont="1" applyBorder="1" applyAlignment="1">
      <alignment horizontal="left" vertical="center"/>
    </xf>
    <xf numFmtId="0" fontId="13" fillId="0" borderId="14" xfId="0" applyFont="1" applyBorder="1" applyAlignment="1">
      <alignment horizontal="left" vertical="center"/>
    </xf>
    <xf numFmtId="179" fontId="10" fillId="0" borderId="14" xfId="0" applyNumberFormat="1" applyFont="1" applyBorder="1" applyAlignment="1">
      <alignment horizontal="right" vertical="center"/>
    </xf>
    <xf numFmtId="0" fontId="10" fillId="0" borderId="15" xfId="0" applyFont="1" applyBorder="1" applyAlignment="1">
      <alignment vertical="center"/>
    </xf>
    <xf numFmtId="0" fontId="20" fillId="0" borderId="0" xfId="0" applyFont="1" applyAlignment="1">
      <alignment horizontal="center" vertical="center"/>
    </xf>
    <xf numFmtId="0" fontId="9" fillId="0" borderId="0" xfId="0" applyFont="1" applyAlignment="1">
      <alignment vertical="center"/>
    </xf>
    <xf numFmtId="0" fontId="6" fillId="0" borderId="1" xfId="0" applyFont="1" applyBorder="1" applyAlignment="1">
      <alignment horizontal="left" vertical="top"/>
    </xf>
    <xf numFmtId="0" fontId="21" fillId="0" borderId="4" xfId="0" applyFont="1" applyBorder="1" applyAlignment="1">
      <alignment horizontal="center" vertical="center"/>
    </xf>
    <xf numFmtId="0" fontId="0" fillId="0" borderId="8" xfId="0" applyBorder="1" applyAlignment="1"/>
    <xf numFmtId="0" fontId="10" fillId="0" borderId="6" xfId="0" applyFont="1" applyBorder="1" applyAlignment="1">
      <alignment horizontal="center" vertical="center"/>
    </xf>
    <xf numFmtId="0" fontId="14" fillId="0" borderId="7" xfId="0" applyFont="1" applyBorder="1" applyAlignment="1">
      <alignment horizontal="center" vertical="center"/>
    </xf>
    <xf numFmtId="0" fontId="0" fillId="0" borderId="13" xfId="0" applyBorder="1" applyAlignment="1"/>
    <xf numFmtId="0" fontId="0" fillId="0" borderId="15" xfId="0" applyBorder="1" applyAlignment="1"/>
    <xf numFmtId="0" fontId="0" fillId="0" borderId="14" xfId="0" applyBorder="1" applyAlignment="1"/>
    <xf numFmtId="0" fontId="3" fillId="0" borderId="1" xfId="0" applyFont="1" applyBorder="1" applyAlignment="1">
      <alignment horizontal="left" vertical="center"/>
    </xf>
    <xf numFmtId="0" fontId="3" fillId="0" borderId="7" xfId="0" applyFont="1" applyBorder="1" applyAlignment="1">
      <alignment horizontal="left" vertical="center"/>
    </xf>
    <xf numFmtId="180" fontId="3" fillId="0" borderId="7" xfId="0" applyNumberFormat="1" applyFont="1" applyBorder="1" applyAlignment="1">
      <alignment horizontal="center" vertical="center"/>
    </xf>
    <xf numFmtId="14" fontId="1" fillId="0" borderId="1" xfId="0" applyNumberFormat="1" applyFont="1" applyBorder="1" applyAlignment="1">
      <alignment horizontal="center" vertical="center"/>
    </xf>
    <xf numFmtId="0" fontId="6" fillId="0" borderId="1" xfId="0" applyFont="1" applyBorder="1" applyAlignment="1">
      <alignment horizontal="center" vertical="center"/>
    </xf>
    <xf numFmtId="0" fontId="15" fillId="0" borderId="6" xfId="0" applyFont="1" applyBorder="1" applyAlignment="1">
      <alignment horizontal="center" vertical="center"/>
    </xf>
    <xf numFmtId="0" fontId="1" fillId="0" borderId="1" xfId="0" applyFont="1" applyBorder="1" applyAlignment="1">
      <alignment horizontal="center" vertical="center" wrapText="1"/>
    </xf>
    <xf numFmtId="0" fontId="6" fillId="0" borderId="1" xfId="0" applyFont="1" applyBorder="1" applyAlignment="1">
      <alignment vertical="center"/>
    </xf>
    <xf numFmtId="0" fontId="22" fillId="0" borderId="0" xfId="0" applyFont="1" applyAlignment="1"/>
    <xf numFmtId="0" fontId="23" fillId="0" borderId="0" xfId="0" applyFont="1" applyAlignment="1"/>
    <xf numFmtId="0" fontId="24" fillId="0" borderId="0" xfId="0" applyFont="1" applyAlignment="1">
      <alignment horizontal="center" wrapText="1"/>
    </xf>
    <xf numFmtId="0" fontId="25" fillId="0" borderId="0" xfId="0" applyFont="1" applyAlignment="1">
      <alignment horizontal="center" wrapText="1"/>
    </xf>
    <xf numFmtId="0" fontId="0" fillId="0" borderId="0" xfId="0" applyAlignment="1">
      <alignment horizontal="center"/>
    </xf>
    <xf numFmtId="0" fontId="0" fillId="0" borderId="0" xfId="0" applyAlignment="1">
      <alignment vertical="top"/>
    </xf>
    <xf numFmtId="0" fontId="26" fillId="0" borderId="0" xfId="0" applyFont="1" applyAlignment="1">
      <alignment horizontal="center" vertical="top"/>
    </xf>
    <xf numFmtId="0" fontId="0" fillId="0" borderId="0" xfId="0" applyAlignment="1">
      <alignment wrapText="1"/>
    </xf>
    <xf numFmtId="14" fontId="0" fillId="0" borderId="0" xfId="0" applyNumberFormat="1" applyAlignment="1"/>
    <xf numFmtId="0" fontId="0" fillId="0" borderId="0" xfId="0" applyAlignment="1">
      <alignment horizontal="left" wrapText="1"/>
    </xf>
    <xf numFmtId="0" fontId="0" fillId="0" borderId="0" xfId="0" applyAlignment="1">
      <alignment horizontal="center" wrapText="1"/>
    </xf>
    <xf numFmtId="0" fontId="1" fillId="0" borderId="0" xfId="0" applyFont="1" applyAlignment="1">
      <alignment horizontal="left" vertical="center" indent="2"/>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5" xfId="0" applyFont="1" applyBorder="1" applyAlignment="1">
      <alignment horizontal="center" vertical="center" wrapText="1"/>
    </xf>
    <xf numFmtId="0" fontId="0" fillId="0" borderId="1" xfId="0" applyBorder="1" applyAlignment="1">
      <alignment horizontal="center" vertical="center"/>
    </xf>
    <xf numFmtId="0" fontId="3" fillId="2" borderId="1" xfId="0" applyFont="1" applyFill="1" applyBorder="1" applyAlignment="1">
      <alignment vertical="center"/>
    </xf>
    <xf numFmtId="181" fontId="1" fillId="0" borderId="14" xfId="0" applyNumberFormat="1" applyFont="1" applyBorder="1" applyAlignment="1">
      <alignment vertical="center"/>
    </xf>
    <xf numFmtId="0" fontId="27" fillId="0" borderId="7" xfId="0" applyFont="1" applyBorder="1" applyAlignment="1">
      <alignment horizontal="center" vertical="center" wrapText="1"/>
    </xf>
    <xf numFmtId="179" fontId="1" fillId="0" borderId="7" xfId="0" applyNumberFormat="1" applyFont="1" applyBorder="1" applyAlignment="1">
      <alignment horizontal="center" vertical="center" wrapText="1"/>
    </xf>
    <xf numFmtId="0" fontId="1" fillId="0" borderId="13" xfId="0" applyFont="1" applyBorder="1" applyAlignment="1">
      <alignment horizontal="justify" vertical="center" wrapText="1"/>
    </xf>
    <xf numFmtId="0" fontId="1" fillId="0" borderId="15" xfId="0" applyFont="1" applyBorder="1" applyAlignment="1">
      <alignment horizontal="justify" vertical="center" wrapText="1"/>
    </xf>
    <xf numFmtId="179" fontId="1" fillId="0" borderId="1" xfId="0" applyNumberFormat="1" applyFont="1" applyBorder="1" applyAlignment="1">
      <alignment horizontal="center" vertical="center" wrapText="1"/>
    </xf>
    <xf numFmtId="0" fontId="0" fillId="0" borderId="10" xfId="0" applyBorder="1" applyAlignment="1">
      <alignment horizontal="center"/>
    </xf>
    <xf numFmtId="0" fontId="22" fillId="0" borderId="0" xfId="0" applyFont="1" applyAlignment="1">
      <alignment horizontal="left" wrapText="1"/>
    </xf>
    <xf numFmtId="0" fontId="2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xr9:uid="{F11A739B-7424-4438-A5BB-90B45FFC233F}">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1" table="0" count="10" xr9:uid="{039407BF-DE79-4CBB-9C0D-934A6A70C8F1}">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3"/>
  <sheetViews>
    <sheetView topLeftCell="A10" workbookViewId="0">
      <selection activeCell="G30" sqref="G30"/>
    </sheetView>
  </sheetViews>
  <sheetFormatPr defaultColWidth="9" defaultRowHeight="14.25"/>
  <cols>
    <col min="1" max="1" width="23.6" style="136" customWidth="1"/>
    <col min="2" max="2" width="9" style="136" customWidth="1"/>
    <col min="3" max="3" width="11.8" style="136" customWidth="1"/>
    <col min="4" max="4" width="31.4" style="136" customWidth="1"/>
    <col min="5" max="5" width="16.6" style="136" customWidth="1"/>
    <col min="6" max="6" width="19.2" style="136" customWidth="1"/>
    <col min="7" max="7" width="14.6" style="136" customWidth="1"/>
    <col min="8" max="8" width="12" style="136" customWidth="1"/>
    <col min="9" max="9" width="47.6" style="136" customWidth="1"/>
    <col min="10" max="16384" width="9" style="136" customWidth="1"/>
  </cols>
  <sheetData>
    <row r="1" ht="40" customHeight="1" spans="1:8">
      <c r="A1" s="137" t="s">
        <v>0</v>
      </c>
    </row>
    <row r="2" ht="18" customHeight="1" spans="1:8">
      <c r="A2" s="138"/>
    </row>
    <row r="3" spans="1:8">
      <c r="A3" t="s">
        <v>1</v>
      </c>
      <c r="C3" s="139" t="s">
        <v>2</v>
      </c>
      <c r="E3" t="s">
        <v>3</v>
      </c>
      <c r="G3">
        <f>装箱单!K9</f>
        <v>0</v>
      </c>
    </row>
    <row r="4" ht="19.5" customHeight="1" spans="1:8">
      <c r="A4" s="140" t="s">
        <v>4</v>
      </c>
      <c r="B4" s="140"/>
      <c r="C4" s="141" t="s">
        <v>5</v>
      </c>
      <c r="E4" s="142" t="s">
        <v>6</v>
      </c>
      <c r="G4" s="143">
        <f>装箱单!K7</f>
        <v>0</v>
      </c>
    </row>
    <row r="5" ht="15" customHeight="1" spans="1:8">
      <c r="A5" t="s">
        <v>7</v>
      </c>
      <c r="B5" s="140"/>
      <c r="C5" s="139">
        <v>13202273056</v>
      </c>
      <c r="E5" s="144" t="s">
        <v>8</v>
      </c>
      <c r="G5" s="145" t="s">
        <v>9</v>
      </c>
      <c r="H5" s="145"/>
    </row>
    <row r="6" ht="9" customHeight="1"/>
    <row r="7" spans="1:8">
      <c r="A7" t="s">
        <v>10</v>
      </c>
      <c r="C7" s="139" t="s">
        <v>11</v>
      </c>
    </row>
    <row r="8" spans="1:8">
      <c r="A8" t="s">
        <v>4</v>
      </c>
      <c r="C8" s="139" t="s">
        <v>12</v>
      </c>
    </row>
    <row r="9" spans="1:8">
      <c r="A9" t="s">
        <v>7</v>
      </c>
      <c r="C9" s="139">
        <v>63381808</v>
      </c>
    </row>
    <row r="10" spans="1:8">
      <c r="A10" s="139"/>
    </row>
    <row r="11" spans="1:8">
      <c r="A11" t="s">
        <v>13</v>
      </c>
    </row>
    <row r="12" ht="32.25" customHeight="1" spans="1:8">
      <c r="A12" s="144" t="s">
        <v>14</v>
      </c>
    </row>
    <row r="13" ht="11.25" customHeight="1" spans="1:8">
      <c r="A13" s="145"/>
    </row>
    <row r="14" ht="13.5" customHeight="1" spans="1:8">
      <c r="A14" s="77" t="s">
        <v>15</v>
      </c>
    </row>
    <row r="15" ht="13.5" customHeight="1" spans="1:8">
      <c r="A15" s="146" t="s">
        <v>16</v>
      </c>
    </row>
    <row r="16" ht="15" customHeight="1" spans="1:8">
      <c r="A16" s="147" t="s">
        <v>17</v>
      </c>
      <c r="B16" s="147" t="s">
        <v>18</v>
      </c>
      <c r="C16" s="147" t="s">
        <v>19</v>
      </c>
      <c r="D16" s="147" t="s">
        <v>20</v>
      </c>
      <c r="E16" s="148" t="s">
        <v>21</v>
      </c>
    </row>
    <row r="17" ht="30" customHeight="1" spans="1:5">
      <c r="A17" s="149" t="s">
        <v>22</v>
      </c>
      <c r="B17" s="149" t="s">
        <v>23</v>
      </c>
      <c r="C17" s="149" t="s">
        <v>24</v>
      </c>
      <c r="D17" s="149" t="s">
        <v>25</v>
      </c>
      <c r="E17" s="150" t="s">
        <v>26</v>
      </c>
    </row>
    <row r="18" ht="13.5" customHeight="1" spans="1:5">
      <c r="A18" s="64" t="str">
        <f>IF(发票!A9=0,"",发票!A9)</f>
        <v/>
      </c>
      <c r="B18" s="64" t="str">
        <f>IF(发票!B9=0,"",发票!B9)</f>
        <v/>
      </c>
      <c r="C18" s="151" t="str">
        <f>IF(发票!C9=0,"",发票!C9)</f>
        <v/>
      </c>
      <c r="D18" s="151" t="e">
        <f>IF(发票!D9=0,"",发票!D9)</f>
        <v>#DIV/0!</v>
      </c>
      <c r="E18" s="151" t="str">
        <f>IF(发票!E9=0,"",发票!E9)</f>
        <v/>
      </c>
    </row>
    <row r="19" ht="13.5" customHeight="1" spans="1:5">
      <c r="A19" s="64" t="str">
        <f>IF(发票!A10=0,"",发票!A10)</f>
        <v/>
      </c>
      <c r="B19" s="64" t="str">
        <f>IF(发票!B10=0,"",发票!B10)</f>
        <v/>
      </c>
      <c r="C19" s="151" t="str">
        <f>IF(发票!C10=0,"",发票!C10)</f>
        <v/>
      </c>
      <c r="D19" s="151" t="e">
        <f>IF(发票!D10=0,"",发票!D10)</f>
        <v>#DIV/0!</v>
      </c>
      <c r="E19" s="151" t="str">
        <f>IF(发票!E10=0,"",发票!E10)</f>
        <v/>
      </c>
    </row>
    <row r="20" ht="13.5" customHeight="1" spans="1:5">
      <c r="A20" s="64" t="str">
        <f>IF(发票!A11=0,"",发票!A11)</f>
        <v/>
      </c>
      <c r="B20" s="64" t="str">
        <f>IF(发票!B11=0,"",发票!B11)</f>
        <v/>
      </c>
      <c r="C20" s="151" t="str">
        <f>IF(发票!C11=0,"",发票!C11)</f>
        <v/>
      </c>
      <c r="D20" s="151" t="e">
        <f>IF(发票!D11=0,"",发票!D11)</f>
        <v>#DIV/0!</v>
      </c>
      <c r="E20" s="151" t="str">
        <f>IF(发票!E11=0,"",发票!E11)</f>
        <v/>
      </c>
    </row>
    <row r="21" ht="13.5" customHeight="1" spans="1:5">
      <c r="A21" s="64" t="str">
        <f>IF(发票!A12=0,"",发票!A12)</f>
        <v/>
      </c>
      <c r="B21" s="64" t="str">
        <f>IF(发票!B12=0,"",发票!B12)</f>
        <v/>
      </c>
      <c r="C21" s="151" t="str">
        <f>IF(发票!C12=0,"",发票!C12)</f>
        <v/>
      </c>
      <c r="D21" s="151" t="e">
        <f>IF(发票!D12=0,"",发票!D12)</f>
        <v>#DIV/0!</v>
      </c>
      <c r="E21" s="151" t="str">
        <f>IF(发票!E12=0,"",发票!E12)</f>
        <v/>
      </c>
    </row>
    <row r="22" ht="13.5" customHeight="1" spans="1:5">
      <c r="A22" s="64" t="str">
        <f>IF(发票!A13=0,"",发票!A13)</f>
        <v/>
      </c>
      <c r="B22" s="64" t="str">
        <f>IF(发票!B13=0,"",发票!B13)</f>
        <v/>
      </c>
      <c r="C22" s="151" t="str">
        <f>IF(发票!C13=0,"",发票!C13)</f>
        <v/>
      </c>
      <c r="D22" s="151" t="e">
        <f>IF(发票!D13=0,"",发票!D13)</f>
        <v>#DIV/0!</v>
      </c>
      <c r="E22" s="151" t="str">
        <f>IF(发票!E13=0,"",发票!E13)</f>
        <v/>
      </c>
    </row>
    <row r="23" ht="13.5" customHeight="1" spans="1:5">
      <c r="A23" s="64" t="str">
        <f>IF(发票!A14=0,"",发票!A14)</f>
        <v/>
      </c>
      <c r="B23" s="64" t="str">
        <f>IF(发票!B14=0,"",发票!B14)</f>
        <v/>
      </c>
      <c r="C23" s="151" t="str">
        <f>IF(发票!C14=0,"",发票!C14)</f>
        <v/>
      </c>
      <c r="D23" s="151" t="e">
        <f>IF(发票!D14=0,"",发票!D14)</f>
        <v>#DIV/0!</v>
      </c>
      <c r="E23" s="151" t="str">
        <f>IF(发票!E14=0,"",发票!E14)</f>
        <v/>
      </c>
    </row>
    <row r="24" ht="13.5" customHeight="1" spans="1:5">
      <c r="A24" s="64" t="str">
        <f>IF(发票!A15=0,"",发票!A15)</f>
        <v/>
      </c>
      <c r="B24" s="64" t="str">
        <f>IF(发票!B15=0,"",发票!B15)</f>
        <v/>
      </c>
      <c r="C24" s="151" t="str">
        <f>IF(发票!C15=0,"",发票!C15)</f>
        <v/>
      </c>
      <c r="D24" s="151" t="e">
        <f>IF(发票!D15=0,"",发票!D15)</f>
        <v>#DIV/0!</v>
      </c>
      <c r="E24" s="151" t="str">
        <f>IF(发票!E15=0,"",发票!E15)</f>
        <v/>
      </c>
    </row>
    <row r="25" ht="13.5" customHeight="1" spans="1:5">
      <c r="A25" s="64" t="str">
        <f>IF(发票!A16=0,"",发票!A16)</f>
        <v/>
      </c>
      <c r="B25" s="64" t="str">
        <f>IF(发票!B16=0,"",发票!B16)</f>
        <v/>
      </c>
      <c r="C25" s="151" t="str">
        <f>IF(发票!C16=0,"",发票!C16)</f>
        <v/>
      </c>
      <c r="D25" s="151" t="e">
        <f>IF(发票!D16=0,"",发票!D16)</f>
        <v>#DIV/0!</v>
      </c>
      <c r="E25" s="151" t="str">
        <f>IF(发票!E16=0,"",发票!E16)</f>
        <v/>
      </c>
    </row>
    <row r="26" ht="13.5" customHeight="1" spans="1:5">
      <c r="A26" s="64" t="str">
        <f>IF(发票!A17=0,"",发票!A17)</f>
        <v/>
      </c>
      <c r="B26" s="64" t="str">
        <f>IF(发票!B17=0,"",发票!B17)</f>
        <v/>
      </c>
      <c r="C26" s="151" t="str">
        <f>IF(发票!C17=0,"",发票!C17)</f>
        <v/>
      </c>
      <c r="D26" s="151" t="e">
        <f>IF(发票!D17=0,"",发票!D17)</f>
        <v>#DIV/0!</v>
      </c>
      <c r="E26" s="151" t="str">
        <f>IF(发票!E17=0,"",发票!E17)</f>
        <v/>
      </c>
    </row>
    <row r="27" ht="13.5" customHeight="1" spans="1:5">
      <c r="A27" s="64" t="str">
        <f>IF(发票!A18=0,"",发票!A18)</f>
        <v/>
      </c>
      <c r="B27" s="64" t="str">
        <f>IF(发票!B18=0,"",发票!B18)</f>
        <v/>
      </c>
      <c r="C27" s="151" t="str">
        <f>IF(发票!C18=0,"",发票!C18)</f>
        <v/>
      </c>
      <c r="D27" s="151" t="e">
        <f>IF(发票!D18=0,"",发票!D18)</f>
        <v>#DIV/0!</v>
      </c>
      <c r="E27" s="151" t="str">
        <f>IF(发票!E18=0,"",发票!E18)</f>
        <v/>
      </c>
    </row>
    <row r="28" ht="13.5" customHeight="1" spans="1:5">
      <c r="A28" s="64" t="str">
        <f>IF(发票!A19=0,"",发票!A19)</f>
        <v/>
      </c>
      <c r="B28" s="64" t="str">
        <f>IF(发票!B19=0,"",发票!B19)</f>
        <v/>
      </c>
      <c r="C28" s="151" t="str">
        <f>IF(发票!C19=0,"",发票!C19)</f>
        <v/>
      </c>
      <c r="D28" s="151" t="e">
        <f>IF(发票!D19=0,"",发票!D19)</f>
        <v>#DIV/0!</v>
      </c>
      <c r="E28" s="151" t="str">
        <f>IF(发票!E19=0,"",发票!E19)</f>
        <v/>
      </c>
    </row>
    <row r="29" ht="13.5" customHeight="1" spans="1:5">
      <c r="A29" s="64" t="str">
        <f>IF(发票!A20=0,"",发票!A20)</f>
        <v/>
      </c>
      <c r="B29" s="64" t="str">
        <f>IF(发票!B20=0,"",发票!B20)</f>
        <v/>
      </c>
      <c r="C29" s="151" t="str">
        <f>IF(发票!C20=0,"",发票!C20)</f>
        <v/>
      </c>
      <c r="D29" s="151" t="e">
        <f>IF(发票!D20=0,"",发票!D20)</f>
        <v>#DIV/0!</v>
      </c>
      <c r="E29" s="151" t="str">
        <f>IF(发票!E20=0,"",发票!E20)</f>
        <v/>
      </c>
    </row>
    <row r="30" ht="13.5" customHeight="1" spans="1:5">
      <c r="A30" s="64" t="str">
        <f>IF(发票!A21=0,"",发票!A21)</f>
        <v/>
      </c>
      <c r="B30" s="64" t="str">
        <f>IF(发票!B21=0,"",发票!B21)</f>
        <v/>
      </c>
      <c r="C30" s="151" t="str">
        <f>IF(发票!C21=0,"",发票!C21)</f>
        <v/>
      </c>
      <c r="D30" s="151" t="e">
        <f>IF(发票!D21=0,"",发票!D21)</f>
        <v>#DIV/0!</v>
      </c>
      <c r="E30" s="151" t="str">
        <f>IF(发票!E21=0,"",发票!E21)</f>
        <v/>
      </c>
    </row>
    <row r="31" ht="15" customHeight="1" spans="1:5">
      <c r="A31" s="152" t="s">
        <v>27</v>
      </c>
      <c r="B31" s="153"/>
      <c r="C31" s="151"/>
      <c r="D31" s="154"/>
      <c r="E31" s="155"/>
    </row>
    <row r="32" ht="24" customHeight="1" spans="1:5">
      <c r="A32" s="156" t="s">
        <v>28</v>
      </c>
      <c r="B32" s="157"/>
      <c r="C32" s="158">
        <f>SUM(C18:C30)</f>
        <v>0</v>
      </c>
      <c r="D32" s="133"/>
      <c r="E32" s="158">
        <f>SUM(E18:E30)</f>
        <v>0</v>
      </c>
    </row>
    <row r="33" ht="8.25" customHeight="1" spans="1:6">
      <c r="A33" s="159"/>
      <c r="B33" s="88"/>
      <c r="C33" s="88"/>
      <c r="D33" s="88"/>
      <c r="E33" s="88"/>
      <c r="F33" s="88"/>
    </row>
    <row r="34" s="135" customFormat="1" ht="12" customHeight="1" spans="1:6">
      <c r="A34" s="135" t="s">
        <v>29</v>
      </c>
      <c r="C34" s="135" t="s">
        <v>30</v>
      </c>
    </row>
    <row r="35" s="135" customFormat="1" ht="12" customHeight="1" spans="1:6">
      <c r="A35" s="135" t="s">
        <v>31</v>
      </c>
      <c r="D35" s="135" t="s">
        <v>32</v>
      </c>
    </row>
    <row r="36" s="135" customFormat="1" ht="12" customHeight="1" spans="1:6">
      <c r="A36" s="135" t="s">
        <v>33</v>
      </c>
      <c r="D36" s="135" t="s">
        <v>34</v>
      </c>
    </row>
    <row r="37" s="135" customFormat="1" ht="12" customHeight="1" spans="1:6">
      <c r="A37" s="135" t="s">
        <v>35</v>
      </c>
      <c r="D37" s="135" t="s">
        <v>36</v>
      </c>
    </row>
    <row r="38" s="135" customFormat="1" ht="12" customHeight="1" spans="1:6">
      <c r="A38" s="135" t="s">
        <v>37</v>
      </c>
      <c r="D38" s="135" t="s">
        <v>38</v>
      </c>
    </row>
    <row r="39" s="135" customFormat="1" ht="12" customHeight="1" spans="1:6">
      <c r="A39" s="135" t="s">
        <v>39</v>
      </c>
      <c r="D39" s="135" t="s">
        <v>40</v>
      </c>
    </row>
    <row r="40" s="135" customFormat="1" ht="12" customHeight="1" spans="1:6">
      <c r="A40" s="135" t="s">
        <v>41</v>
      </c>
    </row>
    <row r="41" s="135" customFormat="1" ht="16.5" customHeight="1" spans="1:6">
      <c r="A41" s="160" t="s">
        <v>42</v>
      </c>
    </row>
    <row r="42" s="135" customFormat="1" ht="93" customHeight="1" spans="1:6">
      <c r="A42" s="160" t="s">
        <v>43</v>
      </c>
    </row>
    <row r="43" s="135" customFormat="1" ht="68" customHeight="1" spans="1:6">
      <c r="A43" s="161" t="s">
        <v>44</v>
      </c>
    </row>
    <row r="44" s="135" customFormat="1" ht="12" customHeight="1" spans="1:6">
      <c r="A44" s="135" t="s">
        <v>45</v>
      </c>
    </row>
    <row r="45" s="135" customFormat="1" ht="12" customHeight="1" spans="1:6">
      <c r="A45" s="135" t="s">
        <v>46</v>
      </c>
    </row>
    <row r="50" spans="1:5">
      <c r="A50" t="s">
        <v>47</v>
      </c>
      <c r="E50" t="s">
        <v>48</v>
      </c>
    </row>
    <row r="51" ht="13.5" customHeight="1" spans="1:5">
      <c r="A51" t="s">
        <v>49</v>
      </c>
    </row>
    <row r="52" ht="13.5" customHeight="1" spans="1:5">
      <c r="A52" t="s">
        <v>50</v>
      </c>
    </row>
    <row r="53" ht="13.5" customHeight="1" spans="1:5">
      <c r="A53" t="s">
        <v>51</v>
      </c>
    </row>
  </sheetData>
  <mergeCells count="16">
    <mergeCell ref="A1:F1"/>
    <mergeCell ref="A2:F2"/>
    <mergeCell ref="C3:D3"/>
    <mergeCell ref="C4:D4"/>
    <mergeCell ref="C5:D5"/>
    <mergeCell ref="E5:F5"/>
    <mergeCell ref="C7:D7"/>
    <mergeCell ref="C8:D8"/>
    <mergeCell ref="C9:D9"/>
    <mergeCell ref="A10:F10"/>
    <mergeCell ref="A12:I12"/>
    <mergeCell ref="A13:I13"/>
    <mergeCell ref="A33:F33"/>
    <mergeCell ref="A41:F41"/>
    <mergeCell ref="A42:F42"/>
    <mergeCell ref="A43:G43"/>
  </mergeCells>
  <printOptions horizontalCentered="1"/>
  <pageMargins left="0.314583333333333" right="0.275" top="0" bottom="0" header="0.511805555555556" footer="0.236111111111111"/>
  <pageSetup paperSize="9" scale="88"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zoomScale="85" zoomScaleNormal="85" workbookViewId="0">
      <selection activeCell="I16" sqref="I16"/>
    </sheetView>
  </sheetViews>
  <sheetFormatPr defaultColWidth="9" defaultRowHeight="13.5" outlineLevelCol="6"/>
  <cols>
    <col min="1" max="1" width="24.8" style="1" customWidth="1"/>
    <col min="2" max="2" width="30" style="1" customWidth="1"/>
    <col min="3" max="3" width="18.6" style="1" customWidth="1"/>
    <col min="4" max="4" width="22.2" style="1" customWidth="1"/>
    <col min="5" max="5" width="21.4" style="1" customWidth="1"/>
    <col min="6" max="6" width="12.2" style="1" customWidth="1"/>
    <col min="7" max="7" width="10.6" style="1" customWidth="1"/>
  </cols>
  <sheetData>
    <row r="1" ht="26" customHeight="1" spans="1:6">
      <c r="A1" s="117"/>
      <c r="F1" s="118"/>
    </row>
    <row r="2" ht="26" customHeight="1" spans="1:6">
      <c r="A2" s="119" t="s">
        <v>52</v>
      </c>
      <c r="B2" s="103"/>
      <c r="C2" s="120" t="s">
        <v>2</v>
      </c>
      <c r="D2" s="88"/>
      <c r="E2" s="103"/>
    </row>
    <row r="3" spans="1:6">
      <c r="A3" s="121"/>
      <c r="B3" s="67"/>
      <c r="C3" s="122" t="s">
        <v>5</v>
      </c>
      <c r="E3" s="67"/>
    </row>
    <row r="4" spans="1:6">
      <c r="A4" s="121"/>
      <c r="B4" s="67"/>
      <c r="C4" s="123" t="s">
        <v>53</v>
      </c>
      <c r="E4" s="67"/>
    </row>
    <row r="5" spans="1:6">
      <c r="A5" s="124"/>
      <c r="B5" s="125"/>
      <c r="C5" s="124"/>
      <c r="D5" s="126"/>
      <c r="E5" s="125"/>
    </row>
    <row r="6" ht="38" customHeight="1" spans="1:6">
      <c r="A6" s="127" t="s">
        <v>54</v>
      </c>
      <c r="B6" s="92"/>
      <c r="C6" s="128" t="str">
        <f>"Invoice No.:"&amp;装箱单!K8</f>
        <v>Invoice No.:</v>
      </c>
      <c r="D6" s="125"/>
      <c r="E6" s="129" t="str">
        <f>"DATE:."&amp;TEXT(装箱单!K7,"yyyy-mm-dd")</f>
        <v>DATE:.1900-01-00</v>
      </c>
    </row>
    <row r="7" ht="38" customHeight="1" spans="1:6">
      <c r="A7" s="127" t="s">
        <v>55</v>
      </c>
      <c r="B7" s="92"/>
      <c r="C7" s="127" t="str">
        <f>"S\C No."&amp;装箱单!K9</f>
        <v>S\C No.</v>
      </c>
      <c r="D7" s="92"/>
      <c r="E7" s="130"/>
    </row>
    <row r="8" ht="24" customHeight="1" spans="1:6">
      <c r="A8" s="131" t="s">
        <v>56</v>
      </c>
      <c r="B8" s="131" t="s">
        <v>23</v>
      </c>
      <c r="C8" s="131" t="s">
        <v>57</v>
      </c>
      <c r="D8" s="131" t="s">
        <v>58</v>
      </c>
      <c r="E8" s="131" t="s">
        <v>59</v>
      </c>
    </row>
    <row r="9" ht="36" customHeight="1" spans="1:6">
      <c r="A9" s="64"/>
      <c r="B9" s="64"/>
      <c r="C9" s="132"/>
      <c r="D9" s="132" t="e">
        <f t="shared" ref="D9:D22" si="0">ROUND(E9/C9,8)</f>
        <v>#DIV/0!</v>
      </c>
      <c r="E9" s="132"/>
    </row>
    <row r="10" ht="27" customHeight="1" spans="1:6">
      <c r="A10" s="64"/>
      <c r="B10" s="64"/>
      <c r="C10" s="132"/>
      <c r="D10" s="132" t="e">
        <f t="shared" si="0"/>
        <v>#DIV/0!</v>
      </c>
      <c r="E10" s="132"/>
    </row>
    <row r="11" ht="27" customHeight="1" spans="1:6">
      <c r="A11" s="64"/>
      <c r="B11" s="64"/>
      <c r="C11" s="132"/>
      <c r="D11" s="132" t="e">
        <f t="shared" si="0"/>
        <v>#DIV/0!</v>
      </c>
      <c r="E11" s="132"/>
    </row>
    <row r="12" ht="27" customHeight="1" spans="1:6">
      <c r="A12" s="64"/>
      <c r="B12" s="64"/>
      <c r="C12" s="132"/>
      <c r="D12" s="132" t="e">
        <f t="shared" si="0"/>
        <v>#DIV/0!</v>
      </c>
      <c r="E12" s="132"/>
    </row>
    <row r="13" ht="27" customHeight="1" spans="1:6">
      <c r="A13" s="64"/>
      <c r="B13" s="64"/>
      <c r="C13" s="132"/>
      <c r="D13" s="132" t="e">
        <f t="shared" si="0"/>
        <v>#DIV/0!</v>
      </c>
      <c r="E13" s="132"/>
    </row>
    <row r="14" ht="27" customHeight="1" spans="1:6">
      <c r="A14" s="64"/>
      <c r="B14" s="64"/>
      <c r="C14" s="132"/>
      <c r="D14" s="132" t="e">
        <f t="shared" si="0"/>
        <v>#DIV/0!</v>
      </c>
      <c r="E14" s="132"/>
    </row>
    <row r="15" ht="27" customHeight="1" spans="1:6">
      <c r="A15" s="64"/>
      <c r="B15" s="64"/>
      <c r="C15" s="132"/>
      <c r="D15" s="132" t="e">
        <f t="shared" si="0"/>
        <v>#DIV/0!</v>
      </c>
      <c r="E15" s="132"/>
    </row>
    <row r="16" ht="27" customHeight="1" spans="1:6">
      <c r="A16" s="64"/>
      <c r="B16" s="64"/>
      <c r="C16" s="132"/>
      <c r="D16" s="132" t="e">
        <f t="shared" si="0"/>
        <v>#DIV/0!</v>
      </c>
      <c r="E16" s="132"/>
    </row>
    <row r="17" ht="27" customHeight="1" spans="1:7">
      <c r="A17" s="64"/>
      <c r="B17" s="64"/>
      <c r="C17" s="132"/>
      <c r="D17" s="132" t="e">
        <f t="shared" si="0"/>
        <v>#DIV/0!</v>
      </c>
      <c r="E17" s="132"/>
    </row>
    <row r="18" ht="27" customHeight="1" spans="1:7">
      <c r="A18" s="64"/>
      <c r="B18" s="64"/>
      <c r="C18" s="132"/>
      <c r="D18" s="132" t="e">
        <f t="shared" si="0"/>
        <v>#DIV/0!</v>
      </c>
      <c r="E18" s="132"/>
    </row>
    <row r="19" ht="27" customHeight="1" spans="1:7">
      <c r="A19" s="64"/>
      <c r="B19" s="64"/>
      <c r="C19" s="132"/>
      <c r="D19" s="132" t="e">
        <f t="shared" si="0"/>
        <v>#DIV/0!</v>
      </c>
      <c r="E19" s="132"/>
    </row>
    <row r="20" ht="27" customHeight="1" spans="1:7">
      <c r="A20" s="64"/>
      <c r="B20" s="64"/>
      <c r="C20" s="132"/>
      <c r="D20" s="132" t="e">
        <f t="shared" si="0"/>
        <v>#DIV/0!</v>
      </c>
      <c r="E20" s="132"/>
    </row>
    <row r="21" ht="27" customHeight="1" spans="1:7">
      <c r="B21" s="64"/>
      <c r="C21" s="132"/>
      <c r="D21" s="132" t="e">
        <f t="shared" si="0"/>
        <v>#DIV/0!</v>
      </c>
      <c r="E21" s="132"/>
    </row>
    <row r="22" ht="27" customHeight="1" spans="1:7">
      <c r="A22" s="64"/>
      <c r="B22" s="64"/>
      <c r="C22" s="132"/>
      <c r="D22" s="132" t="e">
        <f t="shared" si="0"/>
        <v>#DIV/0!</v>
      </c>
      <c r="E22" s="132"/>
    </row>
    <row r="23" ht="44" customHeight="1" spans="1:7">
      <c r="A23" s="133" t="s">
        <v>60</v>
      </c>
      <c r="B23" s="106">
        <f>装箱单!D36</f>
        <v>1</v>
      </c>
      <c r="C23" s="131">
        <f>SUM(C9:C22)</f>
        <v>0</v>
      </c>
      <c r="D23" s="134"/>
      <c r="E23" s="131">
        <f>SUM(E9:E22)</f>
        <v>0</v>
      </c>
      <c r="F23" t="b">
        <f>IF(E23=报关明细表!L27,"",FALSE)</f>
        <v>0</v>
      </c>
      <c r="G23" t="b">
        <f>IF(C23=报关明细表!H27,"",FALSE)</f>
        <v>0</v>
      </c>
    </row>
  </sheetData>
  <mergeCells count="9">
    <mergeCell ref="A1:E1"/>
    <mergeCell ref="C2:E2"/>
    <mergeCell ref="C3:E3"/>
    <mergeCell ref="A6:B6"/>
    <mergeCell ref="C6:D6"/>
    <mergeCell ref="A7:B7"/>
    <mergeCell ref="C7:D7"/>
    <mergeCell ref="A2:B5"/>
    <mergeCell ref="C4:E5"/>
  </mergeCells>
  <pageMargins left="0.393055555555556" right="0.354166666666667" top="0.75" bottom="0.75" header="0.3" footer="0.3"/>
  <pageSetup paperSize="9" scale="97"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S38"/>
  <sheetViews>
    <sheetView topLeftCell="A9" workbookViewId="0">
      <selection activeCell="B19" sqref="B19"/>
    </sheetView>
  </sheetViews>
  <sheetFormatPr defaultColWidth="9" defaultRowHeight="13.5"/>
  <cols>
    <col min="1" max="1" width="20" style="1" customWidth="1"/>
    <col min="2" max="3" width="32.2" style="1" customWidth="1"/>
    <col min="4" max="4" width="8.2" style="1" customWidth="1"/>
    <col min="5" max="5" width="5.6" style="1" customWidth="1"/>
    <col min="6" max="6" width="2.2" style="1" customWidth="1"/>
    <col min="7" max="7" width="9.2" style="1" customWidth="1"/>
    <col min="8" max="8" width="5" style="1" customWidth="1"/>
    <col min="9" max="9" width="2.6" style="1" customWidth="1"/>
    <col min="10" max="10" width="9.2" style="1" customWidth="1"/>
    <col min="11" max="11" width="5.2" style="1" customWidth="1"/>
    <col min="12" max="12" width="14.8" style="1" customWidth="1"/>
  </cols>
  <sheetData>
    <row r="1" ht="28" customHeight="1" spans="1:16">
      <c r="A1" s="78" t="s">
        <v>2</v>
      </c>
    </row>
    <row r="2" ht="32" customHeight="1" spans="1:16">
      <c r="A2" s="79" t="s">
        <v>5</v>
      </c>
    </row>
    <row r="3" ht="21" customHeight="1" spans="1:16">
      <c r="A3" s="80"/>
      <c r="B3" s="81"/>
      <c r="C3" s="81"/>
      <c r="D3" s="81"/>
      <c r="E3" s="81"/>
      <c r="F3" s="81"/>
      <c r="G3" s="82"/>
      <c r="H3" s="83"/>
    </row>
    <row r="4" ht="21" customHeight="1" spans="1:16">
      <c r="A4" s="80"/>
      <c r="B4" s="81"/>
      <c r="C4" s="81"/>
      <c r="D4" s="81"/>
      <c r="E4" s="81"/>
      <c r="F4" s="81"/>
      <c r="G4" s="82"/>
      <c r="H4" s="84"/>
    </row>
    <row r="5" ht="25" customHeight="1" spans="1:16">
      <c r="A5" s="85" t="s">
        <v>61</v>
      </c>
    </row>
    <row r="6" ht="14" customHeight="1" spans="1:16">
      <c r="A6" s="80"/>
      <c r="B6" s="81"/>
      <c r="C6" s="81"/>
      <c r="D6" s="81"/>
      <c r="E6" s="81"/>
      <c r="F6" s="81"/>
      <c r="G6" s="82"/>
      <c r="H6" s="83"/>
    </row>
    <row r="7" ht="26" customHeight="1" spans="1:16">
      <c r="A7" s="86" t="s">
        <v>62</v>
      </c>
      <c r="B7" s="87" t="s">
        <v>63</v>
      </c>
      <c r="C7" s="88"/>
      <c r="D7" s="88"/>
      <c r="E7" s="88"/>
      <c r="F7" s="88"/>
      <c r="G7" s="89" t="s">
        <v>64</v>
      </c>
      <c r="H7" s="90"/>
      <c r="I7" s="90"/>
      <c r="J7" s="90"/>
      <c r="K7" s="91">
        <f>报关明细表!A3</f>
        <v>0</v>
      </c>
      <c r="L7" s="92"/>
    </row>
    <row r="8" ht="18.75" customHeight="1" spans="1:16">
      <c r="A8" s="93"/>
      <c r="B8" s="94"/>
      <c r="G8" s="89" t="s">
        <v>65</v>
      </c>
      <c r="H8" s="95"/>
      <c r="I8" s="95"/>
      <c r="J8" s="92"/>
      <c r="K8" s="96"/>
      <c r="L8" s="92"/>
    </row>
    <row r="9" ht="24" customHeight="1" spans="1:16">
      <c r="A9" s="93"/>
      <c r="B9" s="94"/>
      <c r="G9" s="89" t="s">
        <v>66</v>
      </c>
      <c r="H9" s="95"/>
      <c r="I9" s="95"/>
      <c r="J9" s="92"/>
      <c r="K9" s="96"/>
      <c r="L9" s="92"/>
    </row>
    <row r="10" spans="1:16">
      <c r="A10" s="97"/>
      <c r="B10" s="98"/>
      <c r="C10" s="98"/>
      <c r="D10" s="98"/>
      <c r="E10" s="98"/>
      <c r="F10" s="98"/>
      <c r="G10" s="98"/>
      <c r="H10" s="98"/>
      <c r="I10" s="98"/>
      <c r="J10" s="98"/>
      <c r="K10" s="98"/>
      <c r="L10" s="99"/>
    </row>
    <row r="11" ht="30" customHeight="1" spans="1:16">
      <c r="A11" s="100" t="s">
        <v>56</v>
      </c>
      <c r="B11" s="100" t="s">
        <v>23</v>
      </c>
      <c r="C11" s="100" t="s">
        <v>56</v>
      </c>
      <c r="D11" s="101" t="s">
        <v>67</v>
      </c>
      <c r="E11" s="95"/>
      <c r="F11" s="102" t="s">
        <v>68</v>
      </c>
      <c r="G11" s="88"/>
      <c r="H11" s="103"/>
      <c r="I11" s="104" t="s">
        <v>69</v>
      </c>
      <c r="J11" s="88"/>
      <c r="K11" s="103"/>
      <c r="L11" s="60" t="s">
        <v>70</v>
      </c>
      <c r="P11" s="105"/>
    </row>
    <row r="12" ht="17" customHeight="1" spans="1:16">
      <c r="A12" s="64" t="str">
        <f>IF(报关明细表!B3=0,"",报关明细表!B3)</f>
        <v>美星450碗</v>
      </c>
      <c r="B12" s="64" t="str">
        <f>IF(报关明细表!D3=0,"",报关明细表!D3)</f>
        <v/>
      </c>
      <c r="C12" s="64" t="str">
        <f>IFERROR(VLOOKUP(A12,报关明细表!$B$3:$C$25,2,FALSE),"")</f>
        <v>塑料餐具：碗</v>
      </c>
      <c r="D12" s="106">
        <f>IFERROR(VLOOKUP(A12,报关明细表!B$3:H$27,4,FALSE),"")</f>
        <v>1</v>
      </c>
      <c r="E12" s="92"/>
      <c r="F12" s="106">
        <f>IFERROR(VLOOKUP(A12,报关明细表!B$3:H$27,7,FALSE),"")</f>
        <v>8.83</v>
      </c>
      <c r="G12" s="95"/>
      <c r="H12" s="92"/>
      <c r="I12" s="106">
        <f>IFERROR(VLOOKUP(A12,报关明细表!B$3:J$27,9,FALSE),"")</f>
        <v>9.33</v>
      </c>
      <c r="J12" s="95"/>
      <c r="K12" s="92"/>
      <c r="L12" s="64" t="str">
        <f>IFERROR(VLOOKUP(A12,报关明细表!B$3:F$27,5,FALSE),"")</f>
        <v>300</v>
      </c>
      <c r="P12" s="105"/>
    </row>
    <row r="13" ht="17" customHeight="1" spans="1:16">
      <c r="A13" s="64" t="str">
        <f>IF(报关明细表!B4=0,"",报关明细表!B4)</f>
        <v/>
      </c>
      <c r="B13" s="64" t="str">
        <f>IF(报关明细表!D4=0,"",报关明细表!D4)</f>
        <v/>
      </c>
      <c r="C13" s="64" t="str">
        <f>IFERROR(VLOOKUP(A13,报关明细表!$B$3:$C$25,2,FALSE),"")</f>
        <v/>
      </c>
      <c r="D13" s="106" t="str">
        <f>IFERROR(VLOOKUP(A13,报关明细表!B$3:H$27,4,FALSE),"")</f>
        <v/>
      </c>
      <c r="E13" s="92"/>
      <c r="F13" s="106" t="str">
        <f>IFERROR(VLOOKUP(A13,报关明细表!B$3:H$27,7,FALSE),"")</f>
        <v/>
      </c>
      <c r="G13" s="95"/>
      <c r="H13" s="92"/>
      <c r="I13" s="106" t="str">
        <f>IFERROR(VLOOKUP(A13,报关明细表!B$3:J$27,9,FALSE),"")</f>
        <v/>
      </c>
      <c r="J13" s="95"/>
      <c r="K13" s="92"/>
      <c r="L13" s="64" t="str">
        <f>IFERROR(VLOOKUP(A13,报关明细表!B$3:F$27,5,FALSE),"")</f>
        <v/>
      </c>
      <c r="P13" s="105"/>
    </row>
    <row r="14" ht="17" customHeight="1" spans="1:16">
      <c r="A14" s="64" t="str">
        <f>IF(报关明细表!B5=0,"",报关明细表!B5)</f>
        <v/>
      </c>
      <c r="B14" s="64" t="str">
        <f>IF(报关明细表!D5=0,"",报关明细表!D5)</f>
        <v/>
      </c>
      <c r="C14" s="64" t="str">
        <f>IFERROR(VLOOKUP(A14,报关明细表!$B$3:$C$25,2,FALSE),"")</f>
        <v/>
      </c>
      <c r="D14" s="106" t="str">
        <f>IFERROR(VLOOKUP(A14,报关明细表!B$3:H$27,4,FALSE),"")</f>
        <v/>
      </c>
      <c r="E14" s="92"/>
      <c r="F14" s="106" t="str">
        <f>IFERROR(VLOOKUP(A14,报关明细表!B$3:H$27,7,FALSE),"")</f>
        <v/>
      </c>
      <c r="G14" s="95"/>
      <c r="H14" s="92"/>
      <c r="I14" s="106" t="str">
        <f>IFERROR(VLOOKUP(A14,报关明细表!B$3:J$27,9,FALSE),"")</f>
        <v/>
      </c>
      <c r="J14" s="95"/>
      <c r="K14" s="92"/>
      <c r="L14" s="64" t="str">
        <f>IFERROR(VLOOKUP(A14,报关明细表!B$3:F$27,5,FALSE),"")</f>
        <v/>
      </c>
    </row>
    <row r="15" ht="17" customHeight="1" spans="1:16">
      <c r="A15" s="64" t="str">
        <f>IF(报关明细表!B6=0,"",报关明细表!B6)</f>
        <v/>
      </c>
      <c r="B15" s="64" t="str">
        <f>IF(报关明细表!D6=0,"",报关明细表!D6)</f>
        <v/>
      </c>
      <c r="C15" s="64" t="str">
        <f>IFERROR(VLOOKUP(A15,报关明细表!$B$3:$C$25,2,FALSE),"")</f>
        <v/>
      </c>
      <c r="D15" s="106" t="str">
        <f>IFERROR(VLOOKUP(A15,报关明细表!B$3:H$27,4,FALSE),"")</f>
        <v/>
      </c>
      <c r="E15" s="92"/>
      <c r="F15" s="106" t="str">
        <f>IFERROR(VLOOKUP(A15,报关明细表!B$3:H$27,7,FALSE),"")</f>
        <v/>
      </c>
      <c r="G15" s="95"/>
      <c r="H15" s="92"/>
      <c r="I15" s="106" t="str">
        <f>IFERROR(VLOOKUP(A15,报关明细表!B$3:J$27,9,FALSE),"")</f>
        <v/>
      </c>
      <c r="J15" s="95"/>
      <c r="K15" s="92"/>
      <c r="L15" s="64" t="str">
        <f>IFERROR(VLOOKUP(A15,报关明细表!B$3:F$27,5,FALSE),"")</f>
        <v/>
      </c>
      <c r="M15" s="107"/>
    </row>
    <row r="16" ht="17" customHeight="1" spans="1:16">
      <c r="A16" s="64" t="str">
        <f>IF(报关明细表!B7=0,"",报关明细表!B7)</f>
        <v/>
      </c>
      <c r="B16" s="64" t="str">
        <f>IF(报关明细表!D7=0,"",报关明细表!D7)</f>
        <v/>
      </c>
      <c r="C16" s="64" t="str">
        <f>IFERROR(VLOOKUP(A16,报关明细表!$B$3:$C$25,2,FALSE),"")</f>
        <v/>
      </c>
      <c r="D16" s="106" t="str">
        <f>IFERROR(VLOOKUP(A16,报关明细表!B$3:H$27,4,FALSE),"")</f>
        <v/>
      </c>
      <c r="E16" s="92"/>
      <c r="F16" s="106" t="str">
        <f>IFERROR(VLOOKUP(A16,报关明细表!B$3:H$27,7,FALSE),"")</f>
        <v/>
      </c>
      <c r="G16" s="95"/>
      <c r="H16" s="92"/>
      <c r="I16" s="106" t="str">
        <f>IFERROR(VLOOKUP(A16,报关明细表!B$3:J$27,9,FALSE),"")</f>
        <v/>
      </c>
      <c r="J16" s="95"/>
      <c r="K16" s="92"/>
      <c r="L16" s="64" t="str">
        <f>IFERROR(VLOOKUP(A16,报关明细表!B$3:F$27,5,FALSE),"")</f>
        <v/>
      </c>
    </row>
    <row r="17" ht="17" customHeight="1" spans="1:12">
      <c r="A17" s="64" t="str">
        <f>IF(报关明细表!B8=0,"",报关明细表!B8)</f>
        <v/>
      </c>
      <c r="B17" s="64" t="str">
        <f>IF(报关明细表!D8=0,"",报关明细表!D8)</f>
        <v/>
      </c>
      <c r="C17" s="64" t="str">
        <f>IFERROR(VLOOKUP(A17,报关明细表!$B$3:$C$25,2,FALSE),"")</f>
        <v/>
      </c>
      <c r="D17" s="106" t="str">
        <f>IFERROR(VLOOKUP(A17,报关明细表!B$3:H$27,4,FALSE),"")</f>
        <v/>
      </c>
      <c r="E17" s="92"/>
      <c r="F17" s="106" t="str">
        <f>IFERROR(VLOOKUP(A17,报关明细表!B$3:H$27,7,FALSE),"")</f>
        <v/>
      </c>
      <c r="G17" s="95"/>
      <c r="H17" s="92"/>
      <c r="I17" s="106" t="str">
        <f>IFERROR(VLOOKUP(A17,报关明细表!B$3:J$27,9,FALSE),"")</f>
        <v/>
      </c>
      <c r="J17" s="95"/>
      <c r="K17" s="92"/>
      <c r="L17" s="64" t="str">
        <f>IFERROR(VLOOKUP(A17,报关明细表!B$3:F$27,5,FALSE),"")</f>
        <v/>
      </c>
    </row>
    <row r="18" ht="17" customHeight="1" spans="1:12">
      <c r="A18" s="64" t="str">
        <f>IF(报关明细表!B9=0,"",报关明细表!B9)</f>
        <v/>
      </c>
      <c r="B18" s="64" t="str">
        <f>IF(报关明细表!D9=0,"",报关明细表!D9)</f>
        <v/>
      </c>
      <c r="C18" s="64" t="str">
        <f>IFERROR(VLOOKUP(A18,报关明细表!$B$3:$C$25,2,FALSE),"")</f>
        <v/>
      </c>
      <c r="D18" s="106" t="str">
        <f>IFERROR(VLOOKUP(A18,报关明细表!B$3:H$27,4,FALSE),"")</f>
        <v/>
      </c>
      <c r="E18" s="92"/>
      <c r="F18" s="106" t="str">
        <f>IFERROR(VLOOKUP(A18,报关明细表!B$3:H$27,7,FALSE),"")</f>
        <v/>
      </c>
      <c r="G18" s="95"/>
      <c r="H18" s="92"/>
      <c r="I18" s="106" t="str">
        <f>IFERROR(VLOOKUP(A18,报关明细表!B$3:J$27,9,FALSE),"")</f>
        <v/>
      </c>
      <c r="J18" s="95"/>
      <c r="K18" s="92"/>
      <c r="L18" s="64" t="str">
        <f>IFERROR(VLOOKUP(A18,报关明细表!B$3:F$27,5,FALSE),"")</f>
        <v/>
      </c>
    </row>
    <row r="19" ht="17" customHeight="1" spans="1:12">
      <c r="A19" s="64" t="str">
        <f>IF(报关明细表!B10=0,"",报关明细表!B10)</f>
        <v/>
      </c>
      <c r="B19" s="64" t="str">
        <f>IF(报关明细表!D10=0,"",报关明细表!D10)</f>
        <v/>
      </c>
      <c r="C19" s="64" t="str">
        <f>IFERROR(VLOOKUP(A19,报关明细表!$B$3:$C$25,2,FALSE),"")</f>
        <v/>
      </c>
      <c r="D19" s="106" t="str">
        <f>IFERROR(VLOOKUP(A19,报关明细表!B$3:H$27,4,FALSE),"")</f>
        <v/>
      </c>
      <c r="E19" s="92"/>
      <c r="F19" s="106" t="str">
        <f>IFERROR(VLOOKUP(A19,报关明细表!B$3:H$27,7,FALSE),"")</f>
        <v/>
      </c>
      <c r="G19" s="95"/>
      <c r="H19" s="92"/>
      <c r="I19" s="106" t="str">
        <f>IFERROR(VLOOKUP(A19,报关明细表!B$3:J$27,9,FALSE),"")</f>
        <v/>
      </c>
      <c r="J19" s="95"/>
      <c r="K19" s="92"/>
      <c r="L19" s="64" t="str">
        <f>IFERROR(VLOOKUP(A19,报关明细表!B$3:F$27,5,FALSE),"")</f>
        <v/>
      </c>
    </row>
    <row r="20" ht="17" customHeight="1" spans="1:12">
      <c r="A20" s="64" t="str">
        <f>IF(报关明细表!B11=0,"",报关明细表!B11)</f>
        <v/>
      </c>
      <c r="B20" s="64" t="str">
        <f>IF(报关明细表!D11=0,"",报关明细表!D11)</f>
        <v/>
      </c>
      <c r="C20" s="64" t="str">
        <f>IFERROR(VLOOKUP(A20,报关明细表!$B$3:$C$25,2,FALSE),"")</f>
        <v/>
      </c>
      <c r="D20" s="106" t="str">
        <f>IFERROR(VLOOKUP(A20,报关明细表!B$3:H$27,4,FALSE),"")</f>
        <v/>
      </c>
      <c r="E20" s="92"/>
      <c r="F20" s="106" t="str">
        <f>IFERROR(VLOOKUP(A20,报关明细表!B$3:H$27,7,FALSE),"")</f>
        <v/>
      </c>
      <c r="G20" s="95"/>
      <c r="H20" s="92"/>
      <c r="I20" s="106" t="str">
        <f>IFERROR(VLOOKUP(A20,报关明细表!B$3:J$27,9,FALSE),"")</f>
        <v/>
      </c>
      <c r="J20" s="95"/>
      <c r="K20" s="92"/>
      <c r="L20" s="64" t="str">
        <f>IFERROR(VLOOKUP(A20,报关明细表!B$3:F$27,5,FALSE),"")</f>
        <v/>
      </c>
    </row>
    <row r="21" ht="17" customHeight="1" spans="1:12">
      <c r="A21" s="64" t="str">
        <f>IF(报关明细表!B12=0,"",报关明细表!B12)</f>
        <v/>
      </c>
      <c r="B21" s="64" t="str">
        <f>IF(报关明细表!D12=0,"",报关明细表!D12)</f>
        <v/>
      </c>
      <c r="C21" s="64" t="str">
        <f>IFERROR(VLOOKUP(A21,报关明细表!$B$3:$C$25,2,FALSE),"")</f>
        <v/>
      </c>
      <c r="D21" s="106" t="str">
        <f>IFERROR(VLOOKUP(A21,报关明细表!B$3:H$27,4,FALSE),"")</f>
        <v/>
      </c>
      <c r="E21" s="92"/>
      <c r="F21" s="106" t="str">
        <f>IFERROR(VLOOKUP(A21,报关明细表!B$3:H$27,7,FALSE),"")</f>
        <v/>
      </c>
      <c r="G21" s="95"/>
      <c r="H21" s="92"/>
      <c r="I21" s="106" t="str">
        <f>IFERROR(VLOOKUP(A21,报关明细表!B$3:J$27,9,FALSE),"")</f>
        <v/>
      </c>
      <c r="J21" s="95"/>
      <c r="K21" s="92"/>
      <c r="L21" s="64" t="str">
        <f>IFERROR(VLOOKUP(A21,报关明细表!B$3:F$27,5,FALSE),"")</f>
        <v/>
      </c>
    </row>
    <row r="22" ht="17" customHeight="1" spans="1:12">
      <c r="A22" s="64" t="str">
        <f>IF(报关明细表!B13=0,"",报关明细表!B13)</f>
        <v/>
      </c>
      <c r="B22" s="64" t="str">
        <f>IF(报关明细表!D13=0,"",报关明细表!D13)</f>
        <v/>
      </c>
      <c r="C22" s="64" t="str">
        <f>IFERROR(VLOOKUP(A22,报关明细表!$B$3:$C$25,2,FALSE),"")</f>
        <v/>
      </c>
      <c r="D22" s="106" t="str">
        <f>IFERROR(VLOOKUP(A22,报关明细表!B$3:H$27,4,FALSE),"")</f>
        <v/>
      </c>
      <c r="E22" s="92"/>
      <c r="F22" s="106" t="str">
        <f>IFERROR(VLOOKUP(A22,报关明细表!B$3:H$27,7,FALSE),"")</f>
        <v/>
      </c>
      <c r="G22" s="95"/>
      <c r="H22" s="92"/>
      <c r="I22" s="106" t="str">
        <f>IFERROR(VLOOKUP(A22,报关明细表!B$3:J$27,9,FALSE),"")</f>
        <v/>
      </c>
      <c r="J22" s="95"/>
      <c r="K22" s="92"/>
      <c r="L22" s="64" t="str">
        <f>IFERROR(VLOOKUP(A22,报关明细表!B$3:F$27,5,FALSE),"")</f>
        <v/>
      </c>
    </row>
    <row r="23" ht="17" customHeight="1" spans="1:12">
      <c r="A23" s="64" t="str">
        <f>IF(报关明细表!B14=0,"",报关明细表!B14)</f>
        <v/>
      </c>
      <c r="B23" s="64" t="str">
        <f>IF(报关明细表!D14=0,"",报关明细表!D14)</f>
        <v/>
      </c>
      <c r="C23" s="64" t="str">
        <f>IFERROR(VLOOKUP(A23,报关明细表!$B$3:$C$25,2,FALSE),"")</f>
        <v/>
      </c>
      <c r="D23" s="106" t="str">
        <f>IFERROR(VLOOKUP(A23,报关明细表!B$3:H$27,4,FALSE),"")</f>
        <v/>
      </c>
      <c r="E23" s="92"/>
      <c r="F23" s="106" t="str">
        <f>IFERROR(VLOOKUP(A23,报关明细表!B$3:H$27,7,FALSE),"")</f>
        <v/>
      </c>
      <c r="G23" s="95"/>
      <c r="H23" s="92"/>
      <c r="I23" s="106" t="str">
        <f>IFERROR(VLOOKUP(A23,报关明细表!B$3:J$27,9,FALSE),"")</f>
        <v/>
      </c>
      <c r="J23" s="95"/>
      <c r="K23" s="92"/>
      <c r="L23" s="64" t="str">
        <f>IFERROR(VLOOKUP(A23,报关明细表!B$3:F$27,5,FALSE),"")</f>
        <v/>
      </c>
    </row>
    <row r="24" ht="17" customHeight="1" spans="1:12">
      <c r="A24" s="64" t="str">
        <f>IF(报关明细表!B15=0,"",报关明细表!B15)</f>
        <v/>
      </c>
      <c r="B24" s="64" t="str">
        <f>IF(报关明细表!D15=0,"",报关明细表!D15)</f>
        <v/>
      </c>
      <c r="C24" s="64" t="str">
        <f>IFERROR(VLOOKUP(A24,报关明细表!$B$3:$C$25,2,FALSE),"")</f>
        <v/>
      </c>
      <c r="D24" s="106" t="str">
        <f>IFERROR(VLOOKUP(A24,报关明细表!B$3:H$27,4,FALSE),"")</f>
        <v/>
      </c>
      <c r="E24" s="92"/>
      <c r="F24" s="106" t="str">
        <f>IFERROR(VLOOKUP(A24,报关明细表!B$3:H$27,7,FALSE),"")</f>
        <v/>
      </c>
      <c r="G24" s="95"/>
      <c r="H24" s="92"/>
      <c r="I24" s="106" t="str">
        <f>IFERROR(VLOOKUP(A24,报关明细表!B$3:J$27,9,FALSE),"")</f>
        <v/>
      </c>
      <c r="J24" s="95"/>
      <c r="K24" s="92"/>
      <c r="L24" s="64" t="str">
        <f>IFERROR(VLOOKUP(A24,报关明细表!B$3:F$27,5,FALSE),"")</f>
        <v/>
      </c>
    </row>
    <row r="25" ht="17" customHeight="1" spans="1:12">
      <c r="A25" s="64" t="str">
        <f>IF(报关明细表!B16=0,"",报关明细表!B16)</f>
        <v/>
      </c>
      <c r="B25" s="64" t="str">
        <f>IF(报关明细表!D16=0,"",报关明细表!D16)</f>
        <v/>
      </c>
      <c r="C25" s="64" t="str">
        <f>IFERROR(VLOOKUP(A25,报关明细表!$B$3:$C$25,2,FALSE),"")</f>
        <v/>
      </c>
      <c r="D25" s="106" t="str">
        <f>IFERROR(VLOOKUP(A25,报关明细表!B$3:H$27,4,FALSE),"")</f>
        <v/>
      </c>
      <c r="E25" s="92"/>
      <c r="F25" s="106" t="str">
        <f>IFERROR(VLOOKUP(A25,报关明细表!B$3:H$27,7,FALSE),"")</f>
        <v/>
      </c>
      <c r="G25" s="95"/>
      <c r="H25" s="92"/>
      <c r="I25" s="106" t="str">
        <f>IFERROR(VLOOKUP(A25,报关明细表!B$3:J$27,9,FALSE),"")</f>
        <v/>
      </c>
      <c r="J25" s="95"/>
      <c r="K25" s="92"/>
      <c r="L25" s="64" t="str">
        <f>IFERROR(VLOOKUP(A25,报关明细表!B$3:F$27,5,FALSE),"")</f>
        <v/>
      </c>
    </row>
    <row r="26" ht="17" customHeight="1" spans="1:12">
      <c r="A26" s="64" t="str">
        <f>IF(报关明细表!B17=0,"",报关明细表!B17)</f>
        <v/>
      </c>
      <c r="B26" s="64" t="str">
        <f>IF(报关明细表!D17=0,"",报关明细表!D17)</f>
        <v/>
      </c>
      <c r="C26" s="64" t="str">
        <f>IFERROR(VLOOKUP(A26,报关明细表!$B$3:$C$25,2,FALSE),"")</f>
        <v/>
      </c>
      <c r="D26" s="106" t="str">
        <f>IFERROR(VLOOKUP(A26,报关明细表!B$3:H$27,4,FALSE),"")</f>
        <v/>
      </c>
      <c r="E26" s="92"/>
      <c r="F26" s="106" t="str">
        <f>IFERROR(VLOOKUP(A26,报关明细表!B$3:H$27,7,FALSE),"")</f>
        <v/>
      </c>
      <c r="G26" s="95"/>
      <c r="H26" s="92"/>
      <c r="I26" s="106" t="str">
        <f>IFERROR(VLOOKUP(A26,报关明细表!B$3:J$27,9,FALSE),"")</f>
        <v/>
      </c>
      <c r="J26" s="95"/>
      <c r="K26" s="92"/>
      <c r="L26" s="64" t="str">
        <f>IFERROR(VLOOKUP(A26,报关明细表!B$3:F$27,5,FALSE),"")</f>
        <v/>
      </c>
    </row>
    <row r="27" ht="17" customHeight="1" spans="1:12">
      <c r="A27" s="64" t="str">
        <f>IF(报关明细表!B18=0,"",报关明细表!B18)</f>
        <v/>
      </c>
      <c r="B27" s="64" t="str">
        <f>IF(报关明细表!D18=0,"",报关明细表!D18)</f>
        <v/>
      </c>
      <c r="C27" s="64" t="str">
        <f>IFERROR(VLOOKUP(A27,报关明细表!$B$3:$C$25,2,FALSE),"")</f>
        <v/>
      </c>
      <c r="D27" s="106" t="str">
        <f>IFERROR(VLOOKUP(A27,报关明细表!B$3:H$27,4,FALSE),"")</f>
        <v/>
      </c>
      <c r="E27" s="92"/>
      <c r="F27" s="106" t="str">
        <f>IFERROR(VLOOKUP(A27,报关明细表!B$3:H$27,7,FALSE),"")</f>
        <v/>
      </c>
      <c r="G27" s="95"/>
      <c r="H27" s="92"/>
      <c r="I27" s="106" t="str">
        <f>IFERROR(VLOOKUP(A27,报关明细表!B$3:J$27,9,FALSE),"")</f>
        <v/>
      </c>
      <c r="J27" s="95"/>
      <c r="K27" s="92"/>
      <c r="L27" s="64" t="str">
        <f>IFERROR(VLOOKUP(A27,报关明细表!B$3:F$27,5,FALSE),"")</f>
        <v/>
      </c>
    </row>
    <row r="28" ht="17" customHeight="1" spans="1:12">
      <c r="A28" s="64" t="str">
        <f>IF(报关明细表!B19=0,"",报关明细表!B19)</f>
        <v/>
      </c>
      <c r="B28" s="64" t="str">
        <f>IF(报关明细表!D19=0,"",报关明细表!D19)</f>
        <v/>
      </c>
      <c r="C28" s="64" t="str">
        <f>IFERROR(VLOOKUP(A28,报关明细表!$B$3:$C$25,2,FALSE),"")</f>
        <v/>
      </c>
      <c r="D28" s="106" t="str">
        <f>IFERROR(VLOOKUP(A28,报关明细表!B$3:H$27,4,FALSE),"")</f>
        <v/>
      </c>
      <c r="E28" s="92"/>
      <c r="F28" s="106" t="str">
        <f>IFERROR(VLOOKUP(A28,报关明细表!B$3:H$27,7,FALSE),"")</f>
        <v/>
      </c>
      <c r="G28" s="95"/>
      <c r="H28" s="92"/>
      <c r="I28" s="106" t="str">
        <f>IFERROR(VLOOKUP(A28,报关明细表!B$3:J$27,9,FALSE),"")</f>
        <v/>
      </c>
      <c r="J28" s="95"/>
      <c r="K28" s="92"/>
      <c r="L28" s="64" t="str">
        <f>IFERROR(VLOOKUP(A28,报关明细表!B$3:F$27,5,FALSE),"")</f>
        <v/>
      </c>
    </row>
    <row r="29" ht="17" customHeight="1" spans="1:12">
      <c r="A29" s="64" t="str">
        <f>IF(报关明细表!B20=0,"",报关明细表!B20)</f>
        <v/>
      </c>
      <c r="B29" s="64" t="str">
        <f>IF(报关明细表!D20=0,"",报关明细表!D20)</f>
        <v/>
      </c>
      <c r="C29" s="64" t="str">
        <f>IFERROR(VLOOKUP(A29,报关明细表!$B$3:$C$25,2,FALSE),"")</f>
        <v/>
      </c>
      <c r="D29" s="106" t="str">
        <f>IFERROR(VLOOKUP(A29,报关明细表!B$3:H$27,4,FALSE),"")</f>
        <v/>
      </c>
      <c r="E29" s="92"/>
      <c r="F29" s="106" t="str">
        <f>IFERROR(VLOOKUP(A29,报关明细表!B$3:H$27,7,FALSE),"")</f>
        <v/>
      </c>
      <c r="G29" s="95"/>
      <c r="H29" s="92"/>
      <c r="I29" s="106" t="str">
        <f>IFERROR(VLOOKUP(A29,报关明细表!B$3:J$27,9,FALSE),"")</f>
        <v/>
      </c>
      <c r="J29" s="95"/>
      <c r="K29" s="92"/>
      <c r="L29" s="64" t="str">
        <f>IFERROR(VLOOKUP(A29,报关明细表!B$3:F$27,5,FALSE),"")</f>
        <v/>
      </c>
    </row>
    <row r="30" ht="17" customHeight="1" spans="1:12">
      <c r="A30" s="64" t="str">
        <f>IF(报关明细表!B21=0,"",报关明细表!B21)</f>
        <v/>
      </c>
      <c r="B30" s="64" t="str">
        <f>IF(报关明细表!D21=0,"",报关明细表!D21)</f>
        <v/>
      </c>
      <c r="C30" s="64" t="str">
        <f>IFERROR(VLOOKUP(A30,报关明细表!$B$3:$C$25,2,FALSE),"")</f>
        <v/>
      </c>
      <c r="D30" s="106" t="str">
        <f>IFERROR(VLOOKUP(A30,报关明细表!B$3:H$27,4,FALSE),"")</f>
        <v/>
      </c>
      <c r="E30" s="92"/>
      <c r="F30" s="106" t="str">
        <f>IFERROR(VLOOKUP(A30,报关明细表!B$3:H$27,7,FALSE),"")</f>
        <v/>
      </c>
      <c r="G30" s="95"/>
      <c r="H30" s="92"/>
      <c r="I30" s="106" t="str">
        <f>IFERROR(VLOOKUP(A30,报关明细表!B$3:J$27,9,FALSE),"")</f>
        <v/>
      </c>
      <c r="J30" s="95"/>
      <c r="K30" s="92"/>
      <c r="L30" s="64" t="str">
        <f>IFERROR(VLOOKUP(A30,报关明细表!B$3:F$27,5,FALSE),"")</f>
        <v/>
      </c>
    </row>
    <row r="31" ht="17" customHeight="1" spans="1:12">
      <c r="A31" s="64" t="str">
        <f>IF(报关明细表!B22=0,"",报关明细表!B22)</f>
        <v/>
      </c>
      <c r="B31" s="64" t="str">
        <f>IF(报关明细表!D22=0,"",报关明细表!D22)</f>
        <v/>
      </c>
      <c r="C31" s="64" t="str">
        <f>IFERROR(VLOOKUP(A31,报关明细表!$B$3:$C$25,2,FALSE),"")</f>
        <v/>
      </c>
      <c r="D31" s="106" t="str">
        <f>IFERROR(VLOOKUP(A31,报关明细表!B$3:H$27,4,FALSE),"")</f>
        <v/>
      </c>
      <c r="E31" s="92"/>
      <c r="F31" s="106" t="str">
        <f>IFERROR(VLOOKUP(A31,报关明细表!B$3:H$27,7,FALSE),"")</f>
        <v/>
      </c>
      <c r="G31" s="95"/>
      <c r="H31" s="92"/>
      <c r="I31" s="106" t="str">
        <f>IFERROR(VLOOKUP(A31,报关明细表!B$3:J$27,9,FALSE),"")</f>
        <v/>
      </c>
      <c r="J31" s="95"/>
      <c r="K31" s="92"/>
      <c r="L31" s="64" t="str">
        <f>IFERROR(VLOOKUP(A31,报关明细表!B$3:F$27,5,FALSE),"")</f>
        <v/>
      </c>
    </row>
    <row r="32" ht="17" customHeight="1" spans="1:12">
      <c r="A32" s="64" t="str">
        <f>IF(报关明细表!B23=0,"",报关明细表!B23)</f>
        <v/>
      </c>
      <c r="B32" s="64" t="str">
        <f>IF(报关明细表!D23=0,"",报关明细表!D23)</f>
        <v/>
      </c>
      <c r="C32" s="64" t="str">
        <f>IFERROR(VLOOKUP(A32,报关明细表!$B$3:$C$25,2,FALSE),"")</f>
        <v/>
      </c>
      <c r="D32" s="106" t="str">
        <f>IFERROR(VLOOKUP(A32,报关明细表!B$3:H$27,4,FALSE),"")</f>
        <v/>
      </c>
      <c r="E32" s="92"/>
      <c r="F32" s="106" t="str">
        <f>IFERROR(VLOOKUP(A32,报关明细表!B$3:H$27,7,FALSE),"")</f>
        <v/>
      </c>
      <c r="G32" s="95"/>
      <c r="H32" s="92"/>
      <c r="I32" s="106" t="str">
        <f>IFERROR(VLOOKUP(A32,报关明细表!B$3:J$27,9,FALSE),"")</f>
        <v/>
      </c>
      <c r="J32" s="95"/>
      <c r="K32" s="92"/>
      <c r="L32" s="64" t="str">
        <f>IFERROR(VLOOKUP(A32,报关明细表!B$3:F$27,5,FALSE),"")</f>
        <v/>
      </c>
    </row>
    <row r="33" ht="17" customHeight="1" spans="1:123">
      <c r="A33" s="64" t="str">
        <f>IF(报关明细表!B24=0,"",报关明细表!B24)</f>
        <v/>
      </c>
      <c r="B33" s="64" t="str">
        <f>IF(报关明细表!D24=0,"",报关明细表!D24)</f>
        <v/>
      </c>
      <c r="C33" s="64" t="str">
        <f>IFERROR(VLOOKUP(A33,报关明细表!$B$3:$C$25,2,FALSE),"")</f>
        <v/>
      </c>
      <c r="D33" s="106" t="str">
        <f>IFERROR(VLOOKUP(A33,报关明细表!B$3:H$27,4,FALSE),"")</f>
        <v/>
      </c>
      <c r="E33" s="92"/>
      <c r="F33" s="106" t="str">
        <f>IFERROR(VLOOKUP(A33,报关明细表!B$3:H$27,7,FALSE),"")</f>
        <v/>
      </c>
      <c r="G33" s="95"/>
      <c r="H33" s="92"/>
      <c r="I33" s="106" t="str">
        <f>IFERROR(VLOOKUP(A33,报关明细表!B$3:J$27,9,FALSE),"")</f>
        <v/>
      </c>
      <c r="J33" s="95"/>
      <c r="K33" s="92"/>
      <c r="L33" s="64" t="str">
        <f>IFERROR(VLOOKUP(A33,报关明细表!B$3:F$27,5,FALSE),"")</f>
        <v/>
      </c>
    </row>
    <row r="34" ht="17" customHeight="1" spans="1:123">
      <c r="A34" s="64" t="str">
        <f>IF(报关明细表!B25=0,"",报关明细表!B25)</f>
        <v/>
      </c>
      <c r="B34" s="64" t="str">
        <f>IF(报关明细表!D25=0,"",报关明细表!D25)</f>
        <v/>
      </c>
      <c r="C34" s="64"/>
      <c r="D34" s="106"/>
      <c r="E34" s="92"/>
      <c r="F34" s="106"/>
      <c r="G34" s="95"/>
      <c r="H34" s="92"/>
      <c r="I34" s="106" t="str">
        <f>IFERROR(VLOOKUP(A34,报关明细表!B$3:J$27,9,FALSE),"")</f>
        <v/>
      </c>
      <c r="J34" s="95"/>
      <c r="K34" s="92"/>
      <c r="L34" s="64"/>
    </row>
    <row r="35" ht="17" customHeight="1" spans="1:123">
      <c r="A35" s="106"/>
      <c r="B35" s="64"/>
      <c r="C35" s="64"/>
      <c r="D35" s="106"/>
      <c r="E35" s="92"/>
      <c r="F35" s="106"/>
      <c r="G35" s="95"/>
      <c r="H35" s="92"/>
      <c r="I35" s="106" t="str">
        <f>IFERROR(VLOOKUP(A35,报关明细表!B$3:J$27,9,FALSE),"")</f>
        <v/>
      </c>
      <c r="J35" s="95"/>
      <c r="K35" s="92"/>
      <c r="L35" s="64"/>
    </row>
    <row r="36" s="77" customFormat="1" ht="31" customHeight="1" spans="1:123">
      <c r="A36" s="108" t="s">
        <v>71</v>
      </c>
      <c r="B36" s="109"/>
      <c r="C36" s="110"/>
      <c r="D36" s="110">
        <f>SUM(D12:D35)</f>
        <v>1</v>
      </c>
      <c r="E36" s="110" t="s">
        <v>72</v>
      </c>
      <c r="F36" s="111"/>
      <c r="G36" s="112">
        <f>SUM(F12:H35)</f>
        <v>8.83</v>
      </c>
      <c r="H36" s="113" t="s">
        <v>73</v>
      </c>
      <c r="I36" s="114"/>
      <c r="J36" s="115">
        <f>SUM(I12:K35)</f>
        <v>9.33</v>
      </c>
      <c r="K36" s="113" t="s">
        <v>73</v>
      </c>
      <c r="L36" s="11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row>
    <row r="37" ht="26" customHeight="1"/>
    <row r="38" ht="30" customHeight="1"/>
  </sheetData>
  <mergeCells count="87">
    <mergeCell ref="A1:L1"/>
    <mergeCell ref="A2:L2"/>
    <mergeCell ref="A5:L5"/>
    <mergeCell ref="B7:F7"/>
    <mergeCell ref="G7:J7"/>
    <mergeCell ref="K7:L7"/>
    <mergeCell ref="B8:F8"/>
    <mergeCell ref="G8:J8"/>
    <mergeCell ref="K8:L8"/>
    <mergeCell ref="B9:F9"/>
    <mergeCell ref="G9:J9"/>
    <mergeCell ref="K9:L9"/>
    <mergeCell ref="D11:E11"/>
    <mergeCell ref="F11:H11"/>
    <mergeCell ref="I11:K11"/>
    <mergeCell ref="D12:E12"/>
    <mergeCell ref="F12:H12"/>
    <mergeCell ref="I12:K12"/>
    <mergeCell ref="D13:E13"/>
    <mergeCell ref="F13:H13"/>
    <mergeCell ref="I13:K13"/>
    <mergeCell ref="D14:E14"/>
    <mergeCell ref="F14:H14"/>
    <mergeCell ref="I14:K14"/>
    <mergeCell ref="D15:E15"/>
    <mergeCell ref="F15:H15"/>
    <mergeCell ref="I15:K15"/>
    <mergeCell ref="D16:E16"/>
    <mergeCell ref="F16:H16"/>
    <mergeCell ref="I16:K16"/>
    <mergeCell ref="D17:E17"/>
    <mergeCell ref="F17:H17"/>
    <mergeCell ref="I17:K17"/>
    <mergeCell ref="D18:E18"/>
    <mergeCell ref="F18:H18"/>
    <mergeCell ref="I18:K18"/>
    <mergeCell ref="D19:E19"/>
    <mergeCell ref="F19:H19"/>
    <mergeCell ref="I19:K19"/>
    <mergeCell ref="D20:E20"/>
    <mergeCell ref="F20:H20"/>
    <mergeCell ref="I20:K20"/>
    <mergeCell ref="D21:E21"/>
    <mergeCell ref="F21:H21"/>
    <mergeCell ref="I21:K21"/>
    <mergeCell ref="D22:E22"/>
    <mergeCell ref="F22:H22"/>
    <mergeCell ref="I22:K22"/>
    <mergeCell ref="D23:E23"/>
    <mergeCell ref="F23:H23"/>
    <mergeCell ref="I23:K23"/>
    <mergeCell ref="D24:E24"/>
    <mergeCell ref="F24:H24"/>
    <mergeCell ref="I24:K24"/>
    <mergeCell ref="D25:E25"/>
    <mergeCell ref="F25:H25"/>
    <mergeCell ref="I25:K25"/>
    <mergeCell ref="D26:E26"/>
    <mergeCell ref="F26:H26"/>
    <mergeCell ref="I26:K26"/>
    <mergeCell ref="D27:E27"/>
    <mergeCell ref="F27:H27"/>
    <mergeCell ref="I27:K27"/>
    <mergeCell ref="D28:E28"/>
    <mergeCell ref="F28:H28"/>
    <mergeCell ref="I28:K28"/>
    <mergeCell ref="D29:E29"/>
    <mergeCell ref="F29:H29"/>
    <mergeCell ref="I29:K29"/>
    <mergeCell ref="D30:E30"/>
    <mergeCell ref="F30:H30"/>
    <mergeCell ref="I30:K30"/>
    <mergeCell ref="D31:E31"/>
    <mergeCell ref="F31:H31"/>
    <mergeCell ref="I31:K31"/>
    <mergeCell ref="D32:E32"/>
    <mergeCell ref="F32:H32"/>
    <mergeCell ref="I32:K32"/>
    <mergeCell ref="D33:E33"/>
    <mergeCell ref="F33:H33"/>
    <mergeCell ref="I33:K33"/>
    <mergeCell ref="D34:E34"/>
    <mergeCell ref="F34:H34"/>
    <mergeCell ref="I34:K34"/>
    <mergeCell ref="D35:E35"/>
    <mergeCell ref="F35:H35"/>
    <mergeCell ref="I35:K35"/>
  </mergeCells>
  <printOptions horizontalCentered="1"/>
  <pageMargins left="0" right="0" top="0.554861111111111" bottom="0.554861111111111" header="0.298611111111111" footer="0.298611111111111"/>
  <pageSetup paperSize="9" scale="9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
  <sheetViews>
    <sheetView zoomScale="85" zoomScaleNormal="85" workbookViewId="0">
      <selection activeCell="B3" sqref="B3"/>
    </sheetView>
  </sheetViews>
  <sheetFormatPr defaultColWidth="9" defaultRowHeight="13.5"/>
  <cols>
    <col min="1" max="1" width="11" style="1" customWidth="1"/>
    <col min="2" max="2" width="25.2" style="1" customWidth="1"/>
    <col min="3" max="3" width="22.6" style="1" customWidth="1"/>
    <col min="4" max="4" width="18.4" style="1" customWidth="1"/>
    <col min="8" max="8" width="10.2" style="1" customWidth="1"/>
    <col min="10" max="10" width="10.2" style="1" customWidth="1"/>
    <col min="11" max="11" width="17.8" style="1" customWidth="1"/>
    <col min="12" max="12" width="17.6" style="1" customWidth="1"/>
    <col min="13" max="13" width="43.6" style="1" customWidth="1"/>
    <col min="14" max="14" width="32.2" style="1" customWidth="1"/>
    <col min="15" max="15" width="35" style="1" customWidth="1"/>
    <col min="16" max="16" width="20" style="1" customWidth="1"/>
  </cols>
  <sheetData>
    <row r="1" s="9" customFormat="1" ht="36" customHeight="1" spans="1:17">
      <c r="A1" s="56" t="s">
        <v>74</v>
      </c>
      <c r="L1" s="57"/>
      <c r="M1" s="57"/>
      <c r="N1" s="57"/>
      <c r="P1" s="58"/>
      <c r="Q1" s="59"/>
    </row>
    <row r="2" s="9" customFormat="1" spans="1:17">
      <c r="A2" s="60" t="s">
        <v>75</v>
      </c>
      <c r="B2" s="60" t="s">
        <v>76</v>
      </c>
      <c r="C2" s="60" t="s">
        <v>77</v>
      </c>
      <c r="D2" s="60" t="s">
        <v>18</v>
      </c>
      <c r="E2" s="60" t="s">
        <v>78</v>
      </c>
      <c r="F2" s="60" t="s">
        <v>79</v>
      </c>
      <c r="G2" s="60" t="s">
        <v>80</v>
      </c>
      <c r="H2" s="60" t="s">
        <v>81</v>
      </c>
      <c r="I2" s="60" t="s">
        <v>82</v>
      </c>
      <c r="J2" s="60" t="s">
        <v>83</v>
      </c>
      <c r="K2" s="61" t="s">
        <v>84</v>
      </c>
      <c r="L2" s="62" t="s">
        <v>85</v>
      </c>
      <c r="M2" s="62" t="s">
        <v>86</v>
      </c>
      <c r="N2" s="62" t="s">
        <v>87</v>
      </c>
      <c r="O2" s="61" t="s">
        <v>88</v>
      </c>
      <c r="P2" s="61" t="s">
        <v>89</v>
      </c>
      <c r="Q2" s="59"/>
    </row>
    <row r="3" spans="1:17">
      <c r="A3" s="63">
        <f>工作表2!A1</f>
        <v>0</v>
      </c>
      <c r="B3" s="64" t="str">
        <f>IF(工作表3!A1=0,"",工作表3!A1)</f>
        <v>美星450碗</v>
      </c>
      <c r="C3" s="64" t="str">
        <f>IF(工作表3!C1=0,"",工作表3!C1)</f>
        <v>塑料餐具：碗</v>
      </c>
      <c r="D3" s="64"/>
      <c r="E3" s="64">
        <f>IF(工作表3!I1=0,"",工作表3!I1)</f>
        <v>1</v>
      </c>
      <c r="F3" s="64" t="str">
        <f>IF(工作表3!D1=0,"",工作表3!D1)</f>
        <v>300</v>
      </c>
      <c r="G3" s="64"/>
      <c r="H3" s="64">
        <f>IF(工作表3!J1=0,"",工作表3!J1)</f>
        <v>8.83</v>
      </c>
      <c r="I3" s="64"/>
      <c r="J3" s="64">
        <f t="shared" ref="J3:J26" si="0">IFERROR(H3+E3/2,"")</f>
        <v>9.33</v>
      </c>
      <c r="K3" s="64">
        <f t="shared" ref="K3:K26" si="1">IFERROR(L3/J3,"")</f>
        <v>8.78885316184352</v>
      </c>
      <c r="L3" s="64">
        <f>IF(工作表3!M1=0,"",工作表3!M1)</f>
        <v>82</v>
      </c>
      <c r="M3" s="64" t="str">
        <f>IF(工作表3!B1=0,"",工作表3!B1)</f>
        <v>東莞美星</v>
      </c>
      <c r="N3" s="65"/>
      <c r="O3" s="66"/>
      <c r="P3" s="66"/>
    </row>
    <row r="4" spans="1:17">
      <c r="A4" s="67"/>
      <c r="B4" s="64" t="str">
        <f>IF(工作表3!A2=0,"",工作表3!A2)</f>
        <v/>
      </c>
      <c r="C4" s="64" t="str">
        <f>IF(工作表3!C2=0,"",工作表3!C2)</f>
        <v/>
      </c>
      <c r="D4" s="64"/>
      <c r="E4" s="64" t="str">
        <f>IF(工作表3!I2=0,"",工作表3!I2)</f>
        <v/>
      </c>
      <c r="F4" s="64" t="str">
        <f>IF(工作表3!D2=0,"",工作表3!D2)</f>
        <v/>
      </c>
      <c r="G4" s="64"/>
      <c r="H4" s="64" t="str">
        <f>IF(工作表3!J2=0,"",工作表3!J2)</f>
        <v/>
      </c>
      <c r="I4" s="64"/>
      <c r="J4" s="64" t="str">
        <f t="shared" si="0"/>
        <v/>
      </c>
      <c r="K4" s="64" t="str">
        <f t="shared" si="1"/>
        <v/>
      </c>
      <c r="L4" s="64" t="str">
        <f>IF(工作表3!M2=0,"",工作表3!M2)</f>
        <v/>
      </c>
      <c r="M4" s="64" t="str">
        <f>IF(工作表3!B2=0,"",工作表3!B2)</f>
        <v/>
      </c>
      <c r="N4" s="68"/>
      <c r="O4" s="69"/>
      <c r="P4" s="69"/>
    </row>
    <row r="5" spans="1:17">
      <c r="A5" s="67"/>
      <c r="B5" s="64" t="str">
        <f>IF(工作表3!A3=0,"",工作表3!A3)</f>
        <v/>
      </c>
      <c r="C5" s="64" t="str">
        <f>IF(工作表3!C3=0,"",工作表3!C3)</f>
        <v/>
      </c>
      <c r="D5" s="64"/>
      <c r="E5" s="64" t="str">
        <f>IF(工作表3!I3=0,"",工作表3!I3)</f>
        <v/>
      </c>
      <c r="F5" s="64" t="str">
        <f>IF(工作表3!D3=0,"",工作表3!D3)</f>
        <v/>
      </c>
      <c r="G5" s="64"/>
      <c r="H5" s="64" t="str">
        <f>IF(工作表3!J3=0,"",工作表3!J3)</f>
        <v/>
      </c>
      <c r="I5" s="64"/>
      <c r="J5" s="64" t="str">
        <f t="shared" si="0"/>
        <v/>
      </c>
      <c r="K5" s="64" t="str">
        <f t="shared" si="1"/>
        <v/>
      </c>
      <c r="L5" s="64" t="str">
        <f>IF(工作表3!M3=0,"",工作表3!M3)</f>
        <v/>
      </c>
      <c r="M5" s="64" t="str">
        <f>IF(工作表3!B3=0,"",工作表3!B3)</f>
        <v/>
      </c>
      <c r="N5" s="68"/>
      <c r="O5" s="69"/>
      <c r="P5" s="69"/>
    </row>
    <row r="6" spans="1:17">
      <c r="A6" s="67"/>
      <c r="B6" s="64" t="str">
        <f>IF(工作表3!A4=0,"",工作表3!A4)</f>
        <v/>
      </c>
      <c r="C6" s="64" t="str">
        <f>IF(工作表3!C4=0,"",工作表3!C4)</f>
        <v/>
      </c>
      <c r="D6" s="64"/>
      <c r="E6" s="64" t="str">
        <f>IF(工作表3!I4=0,"",工作表3!I4)</f>
        <v/>
      </c>
      <c r="F6" s="64" t="str">
        <f>IF(工作表3!D4=0,"",工作表3!D4)</f>
        <v/>
      </c>
      <c r="G6" s="64"/>
      <c r="H6" s="64" t="str">
        <f>IF(工作表3!J4=0,"",工作表3!J4)</f>
        <v/>
      </c>
      <c r="I6" s="64"/>
      <c r="J6" s="64" t="str">
        <f t="shared" si="0"/>
        <v/>
      </c>
      <c r="K6" s="64" t="str">
        <f t="shared" si="1"/>
        <v/>
      </c>
      <c r="L6" s="64" t="str">
        <f>IF(工作表3!M4=0,"",工作表3!M4)</f>
        <v/>
      </c>
      <c r="M6" s="64" t="str">
        <f>IF(工作表3!B4=0,"",工作表3!B4)</f>
        <v/>
      </c>
      <c r="N6" s="68"/>
      <c r="O6" s="69"/>
      <c r="P6" s="69"/>
    </row>
    <row r="7" spans="1:17">
      <c r="A7" s="67"/>
      <c r="B7" s="64" t="str">
        <f>IF(工作表3!A5=0,"",工作表3!A5)</f>
        <v/>
      </c>
      <c r="C7" s="64" t="str">
        <f>IF(工作表3!C5=0,"",工作表3!C5)</f>
        <v/>
      </c>
      <c r="D7" s="64"/>
      <c r="E7" s="64" t="str">
        <f>IF(工作表3!I5=0,"",工作表3!I5)</f>
        <v/>
      </c>
      <c r="F7" s="64" t="str">
        <f>IF(工作表3!D5=0,"",工作表3!D5)</f>
        <v/>
      </c>
      <c r="G7" s="64"/>
      <c r="H7" s="64" t="str">
        <f>IF(工作表3!J5=0,"",工作表3!J5)</f>
        <v/>
      </c>
      <c r="I7" s="64"/>
      <c r="J7" s="64" t="str">
        <f t="shared" si="0"/>
        <v/>
      </c>
      <c r="K7" s="64" t="str">
        <f t="shared" si="1"/>
        <v/>
      </c>
      <c r="L7" s="64" t="str">
        <f>IF(工作表3!M5=0,"",工作表3!M5)</f>
        <v/>
      </c>
      <c r="M7" s="64" t="str">
        <f>IF(工作表3!B5=0,"",工作表3!B5)</f>
        <v/>
      </c>
      <c r="N7" s="68"/>
      <c r="O7" s="69"/>
      <c r="P7" s="69"/>
    </row>
    <row r="8" spans="1:17">
      <c r="A8" s="67"/>
      <c r="B8" s="64" t="str">
        <f>IF(工作表3!A6=0,"",工作表3!A6)</f>
        <v/>
      </c>
      <c r="C8" s="64" t="str">
        <f>IF(工作表3!C6=0,"",工作表3!C6)</f>
        <v/>
      </c>
      <c r="D8" s="64"/>
      <c r="E8" s="64" t="str">
        <f>IF(工作表3!I6=0,"",工作表3!I6)</f>
        <v/>
      </c>
      <c r="F8" s="64" t="str">
        <f>IF(工作表3!D6=0,"",工作表3!D6)</f>
        <v/>
      </c>
      <c r="G8" s="64"/>
      <c r="H8" s="64" t="str">
        <f>IF(工作表3!J6=0,"",工作表3!J6)</f>
        <v/>
      </c>
      <c r="I8" s="64"/>
      <c r="J8" s="64" t="str">
        <f t="shared" si="0"/>
        <v/>
      </c>
      <c r="K8" s="64" t="str">
        <f t="shared" si="1"/>
        <v/>
      </c>
      <c r="L8" s="64" t="str">
        <f>IF(工作表3!M6=0,"",工作表3!M6)</f>
        <v/>
      </c>
      <c r="M8" s="64" t="str">
        <f>IF(工作表3!B6=0,"",工作表3!B6)</f>
        <v/>
      </c>
      <c r="N8" s="68"/>
      <c r="O8" s="69"/>
      <c r="P8" s="69"/>
    </row>
    <row r="9" spans="1:17">
      <c r="A9" s="67"/>
      <c r="B9" s="64" t="str">
        <f>IF(工作表3!A7=0,"",工作表3!A7)</f>
        <v/>
      </c>
      <c r="C9" s="64" t="str">
        <f>IF(工作表3!C7=0,"",工作表3!C7)</f>
        <v/>
      </c>
      <c r="D9" s="64"/>
      <c r="E9" s="64" t="str">
        <f>IF(工作表3!I7=0,"",工作表3!I7)</f>
        <v/>
      </c>
      <c r="F9" s="64" t="str">
        <f>IF(工作表3!D7=0,"",工作表3!D7)</f>
        <v/>
      </c>
      <c r="G9" s="64"/>
      <c r="H9" s="64" t="str">
        <f>IF(工作表3!J7=0,"",工作表3!J7)</f>
        <v/>
      </c>
      <c r="I9" s="64"/>
      <c r="J9" s="64" t="str">
        <f t="shared" si="0"/>
        <v/>
      </c>
      <c r="K9" s="64" t="str">
        <f t="shared" si="1"/>
        <v/>
      </c>
      <c r="L9" s="64" t="str">
        <f>IF(工作表3!M7=0,"",工作表3!M7)</f>
        <v/>
      </c>
      <c r="M9" s="64" t="str">
        <f>IF(工作表3!B7=0,"",工作表3!B7)</f>
        <v/>
      </c>
      <c r="N9" s="68"/>
      <c r="O9" s="69"/>
      <c r="P9" s="69"/>
    </row>
    <row r="10" spans="1:17">
      <c r="A10" s="67"/>
      <c r="B10" s="64" t="str">
        <f>IF(工作表3!A8=0,"",工作表3!A8)</f>
        <v/>
      </c>
      <c r="C10" s="64" t="str">
        <f>IF(工作表3!C8=0,"",工作表3!C8)</f>
        <v/>
      </c>
      <c r="D10" s="64"/>
      <c r="E10" s="64" t="str">
        <f>IF(工作表3!I8=0,"",工作表3!I8)</f>
        <v/>
      </c>
      <c r="F10" s="64" t="str">
        <f>IF(工作表3!D8=0,"",工作表3!D8)</f>
        <v/>
      </c>
      <c r="G10" s="64"/>
      <c r="H10" s="64" t="str">
        <f>IF(工作表3!J8=0,"",工作表3!J8)</f>
        <v/>
      </c>
      <c r="I10" s="64"/>
      <c r="J10" s="64" t="str">
        <f t="shared" si="0"/>
        <v/>
      </c>
      <c r="K10" s="64" t="str">
        <f t="shared" si="1"/>
        <v/>
      </c>
      <c r="L10" s="64" t="str">
        <f>IF(工作表3!M8=0,"",工作表3!M8)</f>
        <v/>
      </c>
      <c r="M10" s="64" t="str">
        <f>IF(工作表3!B8=0,"",工作表3!B8)</f>
        <v/>
      </c>
      <c r="N10" s="68"/>
      <c r="O10" s="69"/>
      <c r="P10" s="69"/>
    </row>
    <row r="11" spans="1:17">
      <c r="A11" s="67"/>
      <c r="B11" s="64" t="str">
        <f>IF(工作表3!A9=0,"",工作表3!A9)</f>
        <v/>
      </c>
      <c r="C11" s="64" t="str">
        <f>IF(工作表3!C9=0,"",工作表3!C9)</f>
        <v/>
      </c>
      <c r="D11" s="64"/>
      <c r="E11" s="64" t="str">
        <f>IF(工作表3!I9=0,"",工作表3!I9)</f>
        <v/>
      </c>
      <c r="F11" s="64" t="str">
        <f>IF(工作表3!D9=0,"",工作表3!D9)</f>
        <v/>
      </c>
      <c r="G11" s="64"/>
      <c r="H11" s="64" t="str">
        <f>IF(工作表3!J9=0,"",工作表3!J9)</f>
        <v/>
      </c>
      <c r="I11" s="64"/>
      <c r="J11" s="64" t="str">
        <f t="shared" si="0"/>
        <v/>
      </c>
      <c r="K11" s="64" t="str">
        <f t="shared" si="1"/>
        <v/>
      </c>
      <c r="L11" s="64" t="str">
        <f>IF(工作表3!M9=0,"",工作表3!M9)</f>
        <v/>
      </c>
      <c r="M11" s="64" t="str">
        <f>IF(工作表3!B9=0,"",工作表3!B9)</f>
        <v/>
      </c>
      <c r="N11" s="68"/>
      <c r="O11" s="69"/>
      <c r="P11" s="69"/>
    </row>
    <row r="12" spans="1:17">
      <c r="A12" s="67"/>
      <c r="B12" s="64" t="str">
        <f>IF(工作表3!A10=0,"",工作表3!A10)</f>
        <v/>
      </c>
      <c r="C12" s="64" t="str">
        <f>IF(工作表3!C10=0,"",工作表3!C10)</f>
        <v/>
      </c>
      <c r="D12" s="64"/>
      <c r="E12" s="64" t="str">
        <f>IF(工作表3!I10=0,"",工作表3!I10)</f>
        <v/>
      </c>
      <c r="F12" s="64" t="str">
        <f>IF(工作表3!D10=0,"",工作表3!D10)</f>
        <v/>
      </c>
      <c r="G12" s="64"/>
      <c r="H12" s="64" t="str">
        <f>IF(工作表3!J10=0,"",工作表3!J10)</f>
        <v/>
      </c>
      <c r="I12" s="64"/>
      <c r="J12" s="64" t="str">
        <f t="shared" si="0"/>
        <v/>
      </c>
      <c r="K12" s="64" t="str">
        <f t="shared" si="1"/>
        <v/>
      </c>
      <c r="L12" s="64" t="str">
        <f>IF(工作表3!M10=0,"",工作表3!M10)</f>
        <v/>
      </c>
      <c r="M12" s="64" t="str">
        <f>IF(工作表3!B10=0,"",工作表3!B10)</f>
        <v/>
      </c>
      <c r="N12" s="68"/>
      <c r="O12" s="69"/>
      <c r="P12" s="69"/>
    </row>
    <row r="13" spans="1:17">
      <c r="A13" s="67"/>
      <c r="B13" s="64" t="str">
        <f>IF(工作表3!A11=0,"",工作表3!A11)</f>
        <v/>
      </c>
      <c r="C13" s="64" t="str">
        <f>IF(工作表3!C11=0,"",工作表3!C11)</f>
        <v/>
      </c>
      <c r="D13" s="64"/>
      <c r="E13" s="64" t="str">
        <f>IF(工作表3!I11=0,"",工作表3!I11)</f>
        <v/>
      </c>
      <c r="F13" s="64" t="str">
        <f>IF(工作表3!D11=0,"",工作表3!D11)</f>
        <v/>
      </c>
      <c r="G13" s="64"/>
      <c r="H13" s="64" t="str">
        <f>IF(工作表3!J11=0,"",工作表3!J11)</f>
        <v/>
      </c>
      <c r="I13" s="64"/>
      <c r="J13" s="64" t="str">
        <f t="shared" si="0"/>
        <v/>
      </c>
      <c r="K13" s="64" t="str">
        <f t="shared" si="1"/>
        <v/>
      </c>
      <c r="L13" s="64" t="str">
        <f>IF(工作表3!M11=0,"",工作表3!M11)</f>
        <v/>
      </c>
      <c r="M13" s="64" t="str">
        <f>IF(工作表3!B11=0,"",工作表3!B11)</f>
        <v/>
      </c>
      <c r="N13" s="68"/>
      <c r="O13" s="69"/>
      <c r="P13" s="69"/>
    </row>
    <row r="14" spans="1:17">
      <c r="A14" s="67"/>
      <c r="B14" s="64" t="str">
        <f>IF(工作表3!A12=0,"",工作表3!A12)</f>
        <v/>
      </c>
      <c r="C14" s="64" t="str">
        <f>IF(工作表3!C12=0,"",工作表3!C12)</f>
        <v/>
      </c>
      <c r="D14" s="64"/>
      <c r="E14" s="64" t="str">
        <f>IF(工作表3!I12=0,"",工作表3!I12)</f>
        <v/>
      </c>
      <c r="F14" s="64" t="str">
        <f>IF(工作表3!D12=0,"",工作表3!D12)</f>
        <v/>
      </c>
      <c r="G14" s="64"/>
      <c r="H14" s="64" t="str">
        <f>IF(工作表3!J12=0,"",工作表3!J12)</f>
        <v/>
      </c>
      <c r="I14" s="64"/>
      <c r="J14" s="64" t="str">
        <f t="shared" si="0"/>
        <v/>
      </c>
      <c r="K14" s="64" t="str">
        <f t="shared" si="1"/>
        <v/>
      </c>
      <c r="L14" s="64" t="str">
        <f>IF(工作表3!M12=0,"",工作表3!M12)</f>
        <v/>
      </c>
      <c r="M14" s="64" t="str">
        <f>IF(工作表3!B12=0,"",工作表3!B12)</f>
        <v/>
      </c>
      <c r="N14" s="68"/>
      <c r="O14" s="69"/>
      <c r="P14" s="69"/>
    </row>
    <row r="15" spans="1:17">
      <c r="A15" s="67"/>
      <c r="B15" s="64" t="str">
        <f>IF(工作表3!A13=0,"",工作表3!A13)</f>
        <v/>
      </c>
      <c r="C15" s="64" t="str">
        <f>IF(工作表3!C13=0,"",工作表3!C13)</f>
        <v/>
      </c>
      <c r="D15" s="64"/>
      <c r="E15" s="64" t="str">
        <f>IF(工作表3!I13=0,"",工作表3!I13)</f>
        <v/>
      </c>
      <c r="F15" s="64" t="str">
        <f>IF(工作表3!D13=0,"",工作表3!D13)</f>
        <v/>
      </c>
      <c r="G15" s="64"/>
      <c r="H15" s="64" t="str">
        <f>IF(工作表3!J13=0,"",工作表3!J13)</f>
        <v/>
      </c>
      <c r="I15" s="64"/>
      <c r="J15" s="64" t="str">
        <f t="shared" si="0"/>
        <v/>
      </c>
      <c r="K15" s="64" t="str">
        <f t="shared" si="1"/>
        <v/>
      </c>
      <c r="L15" s="64" t="str">
        <f>IF(工作表3!M13=0,"",工作表3!M13)</f>
        <v/>
      </c>
      <c r="M15" s="64" t="str">
        <f>IF(工作表3!B13=0,"",工作表3!B13)</f>
        <v/>
      </c>
      <c r="N15" s="68"/>
      <c r="O15" s="69"/>
      <c r="P15" s="69"/>
    </row>
    <row r="16" spans="1:17">
      <c r="A16" s="67"/>
      <c r="B16" s="64" t="str">
        <f>IF(工作表3!A14=0,"",工作表3!A14)</f>
        <v/>
      </c>
      <c r="C16" s="64" t="str">
        <f>IF(工作表3!C14=0,"",工作表3!C14)</f>
        <v/>
      </c>
      <c r="D16" s="64"/>
      <c r="E16" s="64" t="str">
        <f>IF(工作表3!I14=0,"",工作表3!I14)</f>
        <v/>
      </c>
      <c r="F16" s="64" t="str">
        <f>IF(工作表3!D14=0,"",工作表3!D14)</f>
        <v/>
      </c>
      <c r="G16" s="64"/>
      <c r="H16" s="64" t="str">
        <f>IF(工作表3!J14=0,"",工作表3!J14)</f>
        <v/>
      </c>
      <c r="I16" s="64"/>
      <c r="J16" s="64" t="str">
        <f t="shared" si="0"/>
        <v/>
      </c>
      <c r="K16" s="64" t="str">
        <f t="shared" si="1"/>
        <v/>
      </c>
      <c r="L16" s="64" t="str">
        <f>IF(工作表3!M14=0,"",工作表3!M14)</f>
        <v/>
      </c>
      <c r="M16" s="64" t="str">
        <f>IF(工作表3!B14=0,"",工作表3!B14)</f>
        <v/>
      </c>
      <c r="N16" s="68"/>
      <c r="O16" s="69"/>
      <c r="P16" s="69"/>
    </row>
    <row r="17" spans="1:16">
      <c r="A17" s="67"/>
      <c r="B17" s="64" t="str">
        <f>IF(工作表3!A15=0,"",工作表3!A15)</f>
        <v/>
      </c>
      <c r="C17" s="64" t="str">
        <f>IF(工作表3!C15=0,"",工作表3!C15)</f>
        <v/>
      </c>
      <c r="D17" s="64"/>
      <c r="E17" s="64" t="str">
        <f>IF(工作表3!I15=0,"",工作表3!I15)</f>
        <v/>
      </c>
      <c r="F17" s="64" t="str">
        <f>IF(工作表3!D15=0,"",工作表3!D15)</f>
        <v/>
      </c>
      <c r="G17" s="64"/>
      <c r="H17" s="64" t="str">
        <f>IF(工作表3!J15=0,"",工作表3!J15)</f>
        <v/>
      </c>
      <c r="I17" s="64"/>
      <c r="J17" s="64" t="str">
        <f t="shared" si="0"/>
        <v/>
      </c>
      <c r="K17" s="64" t="str">
        <f t="shared" si="1"/>
        <v/>
      </c>
      <c r="L17" s="64" t="str">
        <f>IF(工作表3!M15=0,"",工作表3!M15)</f>
        <v/>
      </c>
      <c r="M17" s="64" t="str">
        <f>IF(工作表3!B15=0,"",工作表3!B15)</f>
        <v/>
      </c>
      <c r="N17" s="68"/>
      <c r="O17" s="69"/>
      <c r="P17" s="69"/>
    </row>
    <row r="18" spans="1:16">
      <c r="A18" s="67"/>
      <c r="B18" s="64" t="str">
        <f>IF(工作表3!A16=0,"",工作表3!A16)</f>
        <v/>
      </c>
      <c r="C18" s="64" t="str">
        <f>IF(工作表3!C16=0,"",工作表3!C16)</f>
        <v/>
      </c>
      <c r="D18" s="64"/>
      <c r="E18" s="64" t="str">
        <f>IF(工作表3!I16=0,"",工作表3!I16)</f>
        <v/>
      </c>
      <c r="F18" s="64" t="str">
        <f>IF(工作表3!D16=0,"",工作表3!D16)</f>
        <v/>
      </c>
      <c r="G18" s="64"/>
      <c r="H18" s="64" t="str">
        <f>IF(工作表3!J16=0,"",工作表3!J16)</f>
        <v/>
      </c>
      <c r="I18" s="64"/>
      <c r="J18" s="64" t="str">
        <f t="shared" si="0"/>
        <v/>
      </c>
      <c r="K18" s="64" t="str">
        <f t="shared" si="1"/>
        <v/>
      </c>
      <c r="L18" s="64" t="str">
        <f>IF(工作表3!M16=0,"",工作表3!M16)</f>
        <v/>
      </c>
      <c r="M18" s="64" t="str">
        <f>IF(工作表3!B16=0,"",工作表3!B16)</f>
        <v/>
      </c>
      <c r="N18" s="68"/>
      <c r="O18" s="69"/>
      <c r="P18" s="69"/>
    </row>
    <row r="19" spans="1:16">
      <c r="A19" s="67"/>
      <c r="B19" s="64" t="str">
        <f>IF(工作表3!A17=0,"",工作表3!A17)</f>
        <v/>
      </c>
      <c r="C19" s="64" t="str">
        <f>IF(工作表3!C17=0,"",工作表3!C17)</f>
        <v/>
      </c>
      <c r="D19" s="64"/>
      <c r="E19" s="64" t="str">
        <f>IF(工作表3!I17=0,"",工作表3!I17)</f>
        <v/>
      </c>
      <c r="F19" s="64" t="str">
        <f>IF(工作表3!D17=0,"",工作表3!D17)</f>
        <v/>
      </c>
      <c r="G19" s="64"/>
      <c r="H19" s="64" t="str">
        <f>IF(工作表3!J17=0,"",工作表3!J17)</f>
        <v/>
      </c>
      <c r="I19" s="64"/>
      <c r="J19" s="64" t="str">
        <f t="shared" si="0"/>
        <v/>
      </c>
      <c r="K19" s="64" t="str">
        <f t="shared" si="1"/>
        <v/>
      </c>
      <c r="L19" s="64" t="str">
        <f>IF(工作表3!M17=0,"",工作表3!M17)</f>
        <v/>
      </c>
      <c r="M19" s="64" t="str">
        <f>IF(工作表3!B17=0,"",工作表3!B17)</f>
        <v/>
      </c>
      <c r="N19" s="68"/>
      <c r="O19" s="69"/>
      <c r="P19" s="69"/>
    </row>
    <row r="20" spans="1:16">
      <c r="A20" s="67"/>
      <c r="B20" s="64" t="str">
        <f>IF(工作表3!A18=0,"",工作表3!A18)</f>
        <v/>
      </c>
      <c r="C20" s="64" t="str">
        <f>IF(工作表3!C18=0,"",工作表3!C18)</f>
        <v/>
      </c>
      <c r="D20" s="64"/>
      <c r="E20" s="64" t="str">
        <f>IF(工作表3!I18=0,"",工作表3!I18)</f>
        <v/>
      </c>
      <c r="F20" s="64" t="str">
        <f>IF(工作表3!D18=0,"",工作表3!D18)</f>
        <v/>
      </c>
      <c r="G20" s="64"/>
      <c r="H20" s="64" t="str">
        <f>IF(工作表3!J18=0,"",工作表3!J18)</f>
        <v/>
      </c>
      <c r="I20" s="64"/>
      <c r="J20" s="64" t="str">
        <f t="shared" si="0"/>
        <v/>
      </c>
      <c r="K20" s="64" t="str">
        <f t="shared" si="1"/>
        <v/>
      </c>
      <c r="L20" s="64" t="str">
        <f>IF(工作表3!M18=0,"",工作表3!M18)</f>
        <v/>
      </c>
      <c r="M20" s="64" t="str">
        <f>IF(工作表3!B18=0,"",工作表3!B18)</f>
        <v/>
      </c>
      <c r="N20" s="68"/>
      <c r="O20" s="69"/>
      <c r="P20" s="69"/>
    </row>
    <row r="21" spans="1:16">
      <c r="A21" s="67"/>
      <c r="B21" s="64" t="str">
        <f>IF(工作表3!A19=0,"",工作表3!A19)</f>
        <v/>
      </c>
      <c r="C21" s="64" t="str">
        <f>IF(工作表3!C19=0,"",工作表3!C19)</f>
        <v/>
      </c>
      <c r="D21" s="64"/>
      <c r="E21" s="64" t="str">
        <f>IF(工作表3!I19=0,"",工作表3!I19)</f>
        <v/>
      </c>
      <c r="F21" s="64" t="str">
        <f>IF(工作表3!D19=0,"",工作表3!D19)</f>
        <v/>
      </c>
      <c r="G21" s="64"/>
      <c r="H21" s="64" t="str">
        <f>IF(工作表3!J19=0,"",工作表3!J19)</f>
        <v/>
      </c>
      <c r="I21" s="64"/>
      <c r="J21" s="64" t="str">
        <f t="shared" si="0"/>
        <v/>
      </c>
      <c r="K21" s="64" t="str">
        <f t="shared" si="1"/>
        <v/>
      </c>
      <c r="L21" s="64" t="str">
        <f>IF(工作表3!M19=0,"",工作表3!M19)</f>
        <v/>
      </c>
      <c r="M21" s="64" t="str">
        <f>IF(工作表3!B19=0,"",工作表3!B19)</f>
        <v/>
      </c>
      <c r="N21" s="68"/>
      <c r="O21" s="69"/>
      <c r="P21" s="69"/>
    </row>
    <row r="22" spans="1:16">
      <c r="A22" s="67"/>
      <c r="B22" s="64" t="str">
        <f>IF(工作表3!A20=0,"",工作表3!A20)</f>
        <v/>
      </c>
      <c r="C22" s="64" t="str">
        <f>IF(工作表3!C20=0,"",工作表3!C20)</f>
        <v/>
      </c>
      <c r="D22" s="64"/>
      <c r="E22" s="64" t="str">
        <f>IF(工作表3!I20=0,"",工作表3!I20)</f>
        <v/>
      </c>
      <c r="F22" s="64" t="str">
        <f>IF(工作表3!D20=0,"",工作表3!D20)</f>
        <v/>
      </c>
      <c r="G22" s="64"/>
      <c r="H22" s="64" t="str">
        <f>IF(工作表3!J20=0,"",工作表3!J20)</f>
        <v/>
      </c>
      <c r="I22" s="64"/>
      <c r="J22" s="64" t="str">
        <f t="shared" si="0"/>
        <v/>
      </c>
      <c r="K22" s="64" t="str">
        <f t="shared" si="1"/>
        <v/>
      </c>
      <c r="L22" s="64" t="str">
        <f>IF(工作表3!M20=0,"",工作表3!M20)</f>
        <v/>
      </c>
      <c r="M22" s="64" t="str">
        <f>IF(工作表3!B20=0,"",工作表3!B20)</f>
        <v/>
      </c>
      <c r="N22" s="68"/>
      <c r="O22" s="69"/>
      <c r="P22" s="69"/>
    </row>
    <row r="23" spans="1:16">
      <c r="A23" s="67"/>
      <c r="B23" s="64" t="str">
        <f>IF(工作表3!A21=0,"",工作表3!A21)</f>
        <v/>
      </c>
      <c r="C23" s="64" t="str">
        <f>IF(工作表3!C21=0,"",工作表3!C21)</f>
        <v/>
      </c>
      <c r="D23" s="64"/>
      <c r="E23" s="64" t="str">
        <f>IF(工作表3!I21=0,"",工作表3!I21)</f>
        <v/>
      </c>
      <c r="F23" s="64" t="str">
        <f>IF(工作表3!D21=0,"",工作表3!D21)</f>
        <v/>
      </c>
      <c r="G23" s="64"/>
      <c r="H23" s="64" t="str">
        <f>IF(工作表3!J21=0,"",工作表3!J21)</f>
        <v/>
      </c>
      <c r="I23" s="64"/>
      <c r="J23" s="64" t="str">
        <f t="shared" si="0"/>
        <v/>
      </c>
      <c r="K23" s="64" t="str">
        <f t="shared" si="1"/>
        <v/>
      </c>
      <c r="L23" s="64" t="str">
        <f>IF(工作表3!M21=0,"",工作表3!M21)</f>
        <v/>
      </c>
      <c r="M23" s="64" t="str">
        <f>IF(工作表3!B21=0,"",工作表3!B21)</f>
        <v/>
      </c>
      <c r="N23" s="68"/>
      <c r="O23" s="69"/>
      <c r="P23" s="69"/>
    </row>
    <row r="24" spans="1:16">
      <c r="A24" s="67"/>
      <c r="B24" s="64" t="str">
        <f>IF(工作表3!A22=0,"",工作表3!A22)</f>
        <v/>
      </c>
      <c r="C24" s="64" t="str">
        <f>IF(工作表3!C22=0,"",工作表3!C22)</f>
        <v/>
      </c>
      <c r="D24" s="64"/>
      <c r="E24" s="64" t="str">
        <f>IF(工作表3!I22=0,"",工作表3!I22)</f>
        <v/>
      </c>
      <c r="F24" s="64" t="str">
        <f>IF(工作表3!D22=0,"",工作表3!D22)</f>
        <v/>
      </c>
      <c r="G24" s="64"/>
      <c r="H24" s="64" t="str">
        <f>IF(工作表3!J22=0,"",工作表3!J22)</f>
        <v/>
      </c>
      <c r="I24" s="64"/>
      <c r="J24" s="64" t="str">
        <f t="shared" si="0"/>
        <v/>
      </c>
      <c r="K24" s="64" t="str">
        <f t="shared" si="1"/>
        <v/>
      </c>
      <c r="L24" s="64" t="str">
        <f>IF(工作表3!M22=0,"",工作表3!M22)</f>
        <v/>
      </c>
      <c r="M24" s="64" t="str">
        <f>IF(工作表3!B22=0,"",工作表3!B22)</f>
        <v/>
      </c>
      <c r="N24" s="68"/>
      <c r="O24" s="69"/>
      <c r="P24" s="69"/>
    </row>
    <row r="25" spans="1:16">
      <c r="A25" s="67"/>
      <c r="B25" s="64" t="str">
        <f>IF(工作表3!A23=0,"",工作表3!A23)</f>
        <v/>
      </c>
      <c r="C25" s="64" t="str">
        <f>IF(工作表3!C23=0,"",工作表3!C23)</f>
        <v/>
      </c>
      <c r="D25" s="64"/>
      <c r="E25" s="64" t="str">
        <f>IF(工作表3!I23=0,"",工作表3!I23)</f>
        <v/>
      </c>
      <c r="F25" s="64" t="str">
        <f>IF(工作表3!D23=0,"",工作表3!D23)</f>
        <v/>
      </c>
      <c r="G25" s="64"/>
      <c r="H25" s="64" t="str">
        <f>IF(工作表3!J23=0,"",工作表3!J23)</f>
        <v/>
      </c>
      <c r="I25" s="64"/>
      <c r="J25" s="64" t="str">
        <f t="shared" si="0"/>
        <v/>
      </c>
      <c r="K25" s="64" t="str">
        <f t="shared" si="1"/>
        <v/>
      </c>
      <c r="L25" s="64" t="str">
        <f>IF(工作表3!M23=0,"",工作表3!M23)</f>
        <v/>
      </c>
      <c r="M25" s="64" t="str">
        <f>IF(工作表3!B23=0,"",工作表3!B23)</f>
        <v/>
      </c>
      <c r="N25" s="68"/>
      <c r="O25" s="69"/>
      <c r="P25" s="69"/>
    </row>
    <row r="26" spans="1:16">
      <c r="A26" s="67"/>
      <c r="B26" s="64" t="str">
        <f>IF(工作表3!A24=0,"",工作表3!A24)</f>
        <v/>
      </c>
      <c r="C26" s="64" t="str">
        <f>IF(工作表3!C24=0,"",工作表3!C24)</f>
        <v/>
      </c>
      <c r="D26" s="64"/>
      <c r="E26" s="64" t="str">
        <f>IF(工作表3!I24=0,"",工作表3!I24)</f>
        <v/>
      </c>
      <c r="F26" s="64" t="str">
        <f>IF(工作表3!D24=0,"",工作表3!D24)</f>
        <v/>
      </c>
      <c r="G26" s="64"/>
      <c r="H26" s="64" t="str">
        <f>IF(工作表3!J24=0,"",工作表3!J24)</f>
        <v/>
      </c>
      <c r="I26" s="64"/>
      <c r="J26" s="64" t="str">
        <f t="shared" si="0"/>
        <v/>
      </c>
      <c r="K26" s="64" t="str">
        <f t="shared" si="1"/>
        <v/>
      </c>
      <c r="L26" s="64" t="str">
        <f>IF(工作表3!M24=0,"",工作表3!M24)</f>
        <v/>
      </c>
      <c r="M26" s="64" t="str">
        <f>IF(工作表3!B24=0,"",工作表3!B24)</f>
        <v/>
      </c>
      <c r="N26" s="70"/>
      <c r="O26" s="69"/>
      <c r="P26" s="69"/>
    </row>
    <row r="27" spans="1:16">
      <c r="A27" s="67"/>
      <c r="B27" s="71" t="str">
        <f>IF(工作表3!A25=0,"",工作表3!A25)</f>
        <v/>
      </c>
      <c r="C27" s="71" t="str">
        <f>IF(工作表3!C25=0,"",工作表3!C25)</f>
        <v/>
      </c>
      <c r="D27" s="71"/>
      <c r="E27" s="72">
        <f>SUM(E3:E26)</f>
        <v>1</v>
      </c>
      <c r="F27" s="72" t="str">
        <f>IF(工作表3!D25=0,"",工作表3!D25)</f>
        <v/>
      </c>
      <c r="G27" s="72"/>
      <c r="H27" s="72">
        <f>SUM(H3:H26)</f>
        <v>8.83</v>
      </c>
      <c r="I27" s="72"/>
      <c r="J27" s="72">
        <f>SUM(J3:J26)</f>
        <v>9.33</v>
      </c>
      <c r="K27" s="72"/>
      <c r="L27" s="73">
        <f>SUM(L3:L26)</f>
        <v>82</v>
      </c>
      <c r="M27" s="74" t="str">
        <f>IF(工作表3!B25=0,"",工作表3!B25)</f>
        <v/>
      </c>
      <c r="N27" s="74"/>
      <c r="O27" s="69"/>
      <c r="P27" s="69"/>
    </row>
    <row r="28" spans="1:16">
      <c r="A28" s="53">
        <f>工作表2!B1</f>
        <v>0</v>
      </c>
      <c r="O28" s="75"/>
      <c r="P28" s="75"/>
    </row>
    <row r="32" spans="1:16">
      <c r="B32" s="76"/>
    </row>
  </sheetData>
  <mergeCells count="3">
    <mergeCell ref="A3:A27"/>
    <mergeCell ref="O3:O28"/>
    <mergeCell ref="P3:P2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
  <sheetViews>
    <sheetView workbookViewId="0">
      <selection activeCell="A15" sqref="A15"/>
    </sheetView>
  </sheetViews>
  <sheetFormatPr defaultColWidth="11" defaultRowHeight="13.5"/>
  <cols>
    <col min="1" max="1" width="52.8" style="9" customWidth="1"/>
  </cols>
  <sheetData>
    <row r="1" spans="1:1">
      <c r="A1" s="9" t="s">
        <v>90</v>
      </c>
    </row>
    <row r="2" spans="1:1">
      <c r="A2" s="9" t="s">
        <v>91</v>
      </c>
    </row>
    <row r="4" spans="1:1">
      <c r="A4" s="9" t="s">
        <v>92</v>
      </c>
    </row>
    <row r="5" spans="1:1">
      <c r="A5" s="9" t="s">
        <v>93</v>
      </c>
    </row>
    <row r="7" spans="1:1">
      <c r="A7" s="9" t="s">
        <v>94</v>
      </c>
    </row>
    <row r="8" spans="1:1">
      <c r="A8" s="8" t="s">
        <v>95</v>
      </c>
    </row>
    <row r="9" spans="1:1">
      <c r="A9" s="9" t="s">
        <v>96</v>
      </c>
    </row>
    <row r="10" spans="1:1">
      <c r="A10" s="9" t="s">
        <v>97</v>
      </c>
    </row>
    <row r="11" spans="1:1">
      <c r="A11" s="9" t="s">
        <v>98</v>
      </c>
    </row>
    <row r="12" spans="1:1">
      <c r="A12" s="9" t="s">
        <v>99</v>
      </c>
    </row>
    <row r="13" spans="1:1">
      <c r="A13" s="9" t="s">
        <v>100</v>
      </c>
    </row>
    <row r="14" spans="1:1">
      <c r="A14" s="9" t="s">
        <v>101</v>
      </c>
    </row>
    <row r="15" spans="1:1">
      <c r="A15" s="9" t="s">
        <v>102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8"/>
  <sheetViews>
    <sheetView tabSelected="1" zoomScale="85" zoomScaleNormal="85" workbookViewId="0">
      <selection activeCell="B4" sqref="B4"/>
    </sheetView>
  </sheetViews>
  <sheetFormatPr defaultColWidth="11" defaultRowHeight="13.5"/>
  <cols>
    <col min="1" max="1" width="19.4" style="2" customWidth="1"/>
    <col min="2" max="2" width="18.4" style="2" customWidth="1"/>
    <col min="3" max="3" width="40.6" style="2" customWidth="1"/>
    <col min="4" max="4" width="23.2" style="2" customWidth="1"/>
    <col min="5" max="5" width="14.8" style="2" customWidth="1"/>
    <col min="6" max="6" width="22" style="2" customWidth="1"/>
    <col min="7" max="8" width="29" style="2" customWidth="1"/>
    <col min="9" max="9" width="22.2" style="2" customWidth="1"/>
    <col min="10" max="10" width="28.4" style="2" customWidth="1"/>
    <col min="11" max="12" width="23.8" style="2" customWidth="1"/>
    <col min="13" max="13" width="13" style="5" customWidth="1"/>
    <col min="14" max="14" width="13.2" style="2" customWidth="1"/>
    <col min="15" max="15" width="14" style="2" customWidth="1"/>
    <col min="16" max="16384" width="11" style="2" customWidth="1"/>
  </cols>
  <sheetData>
    <row r="1" spans="1:16">
      <c r="A1" s="6"/>
      <c r="B1" s="7"/>
      <c r="C1" s="7"/>
      <c r="D1" s="7"/>
      <c r="E1" s="7"/>
    </row>
    <row r="3" spans="1:16">
      <c r="A3" s="8" t="s">
        <v>103</v>
      </c>
      <c r="M3" s="2"/>
    </row>
    <row r="4" spans="1:16">
      <c r="A4" s="9"/>
      <c r="B4" s="9" t="s">
        <v>104</v>
      </c>
      <c r="C4" s="8" t="s">
        <v>105</v>
      </c>
      <c r="D4" s="8" t="s">
        <v>77</v>
      </c>
      <c r="E4" s="8" t="s">
        <v>106</v>
      </c>
      <c r="F4" s="8" t="s">
        <v>107</v>
      </c>
      <c r="G4" s="8" t="s">
        <v>108</v>
      </c>
      <c r="H4" s="8" t="s">
        <v>109</v>
      </c>
      <c r="I4" s="8" t="s">
        <v>110</v>
      </c>
      <c r="J4" s="8" t="s">
        <v>111</v>
      </c>
      <c r="K4" s="8" t="s">
        <v>112</v>
      </c>
      <c r="L4" s="8" t="s">
        <v>113</v>
      </c>
      <c r="M4" s="8" t="s">
        <v>114</v>
      </c>
      <c r="N4" s="10" t="s">
        <v>115</v>
      </c>
      <c r="O4"/>
      <c r="P4"/>
    </row>
    <row r="5" spans="1:16">
      <c r="A5" s="9"/>
      <c r="B5" s="11" t="s">
        <v>116</v>
      </c>
      <c r="C5" s="11"/>
      <c r="D5" s="11"/>
      <c r="E5" s="11"/>
      <c r="F5" s="12"/>
      <c r="G5" s="8"/>
      <c r="H5" s="8"/>
      <c r="I5" s="8"/>
      <c r="J5" s="8"/>
      <c r="K5" s="8"/>
      <c r="L5" s="8"/>
      <c r="M5" s="8"/>
      <c r="N5"/>
      <c r="O5"/>
      <c r="P5"/>
    </row>
    <row r="6" spans="1:16">
      <c r="A6" s="13"/>
      <c r="B6" s="13" t="s">
        <v>117</v>
      </c>
      <c r="C6" s="9" t="s">
        <v>99</v>
      </c>
      <c r="D6" s="14" t="s">
        <v>118</v>
      </c>
      <c r="E6" s="15" t="s">
        <v>119</v>
      </c>
      <c r="F6" s="8">
        <v>4</v>
      </c>
      <c r="G6" s="14">
        <v>66</v>
      </c>
      <c r="H6" s="16">
        <v>0.07</v>
      </c>
      <c r="I6" s="17">
        <f t="shared" ref="I6:I21" si="0">G6*(1+H6)</f>
        <v>70.62</v>
      </c>
      <c r="J6" s="9"/>
      <c r="K6" s="18">
        <f t="shared" ref="K6:K64" si="1">J6*F6</f>
        <v>0</v>
      </c>
      <c r="L6" s="18">
        <f t="shared" ref="L6:L69" si="2">K6+J6/2</f>
        <v>0</v>
      </c>
      <c r="M6" s="17">
        <f t="shared" ref="M6:M64" si="3">J6*I6</f>
        <v>0</v>
      </c>
      <c r="N6" s="19">
        <f t="shared" ref="N6:N64" si="4">M6+J6</f>
        <v>0</v>
      </c>
    </row>
    <row r="7" spans="1:16">
      <c r="A7" s="13"/>
      <c r="B7" s="20" t="s">
        <v>120</v>
      </c>
      <c r="C7" s="9" t="s">
        <v>99</v>
      </c>
      <c r="D7" s="14" t="s">
        <v>118</v>
      </c>
      <c r="E7" s="15" t="s">
        <v>119</v>
      </c>
      <c r="F7" s="8">
        <v>4.2</v>
      </c>
      <c r="G7" s="14">
        <v>56</v>
      </c>
      <c r="H7" s="16">
        <v>0.07</v>
      </c>
      <c r="I7" s="17">
        <f t="shared" si="0"/>
        <v>59.92</v>
      </c>
      <c r="J7" s="9"/>
      <c r="K7" s="18">
        <f t="shared" si="1"/>
        <v>0</v>
      </c>
      <c r="L7" s="18">
        <f t="shared" si="2"/>
        <v>0</v>
      </c>
      <c r="M7" s="17">
        <f t="shared" si="3"/>
        <v>0</v>
      </c>
      <c r="N7" s="19">
        <f t="shared" si="4"/>
        <v>0</v>
      </c>
    </row>
    <row r="8" spans="1:16">
      <c r="A8" s="13"/>
      <c r="B8" s="13" t="s">
        <v>121</v>
      </c>
      <c r="C8" s="9" t="s">
        <v>99</v>
      </c>
      <c r="D8" s="14" t="s">
        <v>118</v>
      </c>
      <c r="E8" s="15" t="s">
        <v>119</v>
      </c>
      <c r="F8" s="8">
        <v>5.5</v>
      </c>
      <c r="G8" s="14">
        <v>78</v>
      </c>
      <c r="H8" s="16">
        <v>0.07</v>
      </c>
      <c r="I8" s="17">
        <f t="shared" si="0"/>
        <v>83.46</v>
      </c>
      <c r="J8" s="9"/>
      <c r="K8" s="18">
        <f t="shared" si="1"/>
        <v>0</v>
      </c>
      <c r="L8" s="18">
        <f t="shared" si="2"/>
        <v>0</v>
      </c>
      <c r="M8" s="17">
        <f t="shared" si="3"/>
        <v>0</v>
      </c>
      <c r="N8" s="19">
        <f t="shared" si="4"/>
        <v>0</v>
      </c>
    </row>
    <row r="9" spans="1:16">
      <c r="A9" s="13"/>
      <c r="B9" s="13" t="s">
        <v>122</v>
      </c>
      <c r="C9" s="9" t="s">
        <v>99</v>
      </c>
      <c r="D9" s="14" t="s">
        <v>123</v>
      </c>
      <c r="E9" s="15" t="s">
        <v>124</v>
      </c>
      <c r="F9" s="8">
        <v>4</v>
      </c>
      <c r="G9" s="14">
        <v>55</v>
      </c>
      <c r="H9" s="16">
        <v>0.07</v>
      </c>
      <c r="I9" s="17">
        <f t="shared" si="0"/>
        <v>58.85</v>
      </c>
      <c r="J9" s="9"/>
      <c r="K9" s="18">
        <f t="shared" si="1"/>
        <v>0</v>
      </c>
      <c r="L9" s="18">
        <f t="shared" si="2"/>
        <v>0</v>
      </c>
      <c r="M9" s="17">
        <f t="shared" si="3"/>
        <v>0</v>
      </c>
      <c r="N9" s="19">
        <f t="shared" si="4"/>
        <v>0</v>
      </c>
    </row>
    <row r="10" spans="1:16">
      <c r="A10" s="13"/>
      <c r="B10" s="13" t="s">
        <v>125</v>
      </c>
      <c r="C10" s="9" t="s">
        <v>99</v>
      </c>
      <c r="D10" s="14" t="s">
        <v>126</v>
      </c>
      <c r="E10" s="15" t="s">
        <v>127</v>
      </c>
      <c r="F10" s="8">
        <v>4.14</v>
      </c>
      <c r="G10" s="14">
        <v>55</v>
      </c>
      <c r="H10" s="16">
        <v>0.07</v>
      </c>
      <c r="I10" s="17">
        <f t="shared" si="0"/>
        <v>58.85</v>
      </c>
      <c r="J10" s="9"/>
      <c r="K10" s="18">
        <f t="shared" si="1"/>
        <v>0</v>
      </c>
      <c r="L10" s="18">
        <f t="shared" si="2"/>
        <v>0</v>
      </c>
      <c r="M10" s="17">
        <f t="shared" si="3"/>
        <v>0</v>
      </c>
      <c r="N10" s="19">
        <f t="shared" si="4"/>
        <v>0</v>
      </c>
    </row>
    <row r="11" spans="1:16">
      <c r="A11" s="13"/>
      <c r="B11" s="20" t="s">
        <v>128</v>
      </c>
      <c r="C11" s="9" t="s">
        <v>99</v>
      </c>
      <c r="D11" s="14" t="s">
        <v>126</v>
      </c>
      <c r="E11" s="15" t="s">
        <v>129</v>
      </c>
      <c r="F11" s="8">
        <v>6.8</v>
      </c>
      <c r="G11" s="14">
        <v>80</v>
      </c>
      <c r="H11" s="16">
        <v>0.07</v>
      </c>
      <c r="I11" s="17">
        <f t="shared" si="0"/>
        <v>85.6</v>
      </c>
      <c r="J11" s="9"/>
      <c r="K11" s="18">
        <f t="shared" si="1"/>
        <v>0</v>
      </c>
      <c r="L11" s="18">
        <f t="shared" si="2"/>
        <v>0</v>
      </c>
      <c r="M11" s="17">
        <f t="shared" si="3"/>
        <v>0</v>
      </c>
      <c r="N11" s="19">
        <f t="shared" si="4"/>
        <v>0</v>
      </c>
    </row>
    <row r="12" spans="1:16">
      <c r="A12" s="13"/>
      <c r="B12" s="13" t="s">
        <v>130</v>
      </c>
      <c r="C12" s="9" t="s">
        <v>99</v>
      </c>
      <c r="D12" s="14" t="s">
        <v>126</v>
      </c>
      <c r="E12" s="15" t="s">
        <v>124</v>
      </c>
      <c r="F12" s="8">
        <v>8</v>
      </c>
      <c r="G12" s="14">
        <v>63</v>
      </c>
      <c r="H12" s="16">
        <v>0.07</v>
      </c>
      <c r="I12" s="17">
        <f t="shared" si="0"/>
        <v>67.41</v>
      </c>
      <c r="J12" s="9"/>
      <c r="K12" s="18">
        <f t="shared" si="1"/>
        <v>0</v>
      </c>
      <c r="L12" s="18">
        <f t="shared" si="2"/>
        <v>0</v>
      </c>
      <c r="M12" s="17">
        <f t="shared" si="3"/>
        <v>0</v>
      </c>
      <c r="N12" s="19">
        <f t="shared" si="4"/>
        <v>0</v>
      </c>
    </row>
    <row r="13" spans="1:16">
      <c r="A13" s="13"/>
      <c r="B13" s="20" t="s">
        <v>131</v>
      </c>
      <c r="C13" s="9" t="s">
        <v>99</v>
      </c>
      <c r="D13" s="14" t="s">
        <v>126</v>
      </c>
      <c r="E13" s="15" t="s">
        <v>127</v>
      </c>
      <c r="F13" s="8">
        <v>6.03</v>
      </c>
      <c r="G13" s="14">
        <v>79</v>
      </c>
      <c r="H13" s="16">
        <v>0.07</v>
      </c>
      <c r="I13" s="17">
        <f t="shared" si="0"/>
        <v>84.53</v>
      </c>
      <c r="J13" s="9"/>
      <c r="K13" s="18">
        <f t="shared" si="1"/>
        <v>0</v>
      </c>
      <c r="L13" s="18">
        <f t="shared" si="2"/>
        <v>0</v>
      </c>
      <c r="M13" s="17">
        <f t="shared" si="3"/>
        <v>0</v>
      </c>
      <c r="N13" s="19">
        <f t="shared" si="4"/>
        <v>0</v>
      </c>
    </row>
    <row r="14" spans="1:16">
      <c r="A14" s="13"/>
      <c r="B14" s="20" t="s">
        <v>132</v>
      </c>
      <c r="C14" s="9" t="s">
        <v>99</v>
      </c>
      <c r="D14" s="14" t="s">
        <v>126</v>
      </c>
      <c r="E14" s="15" t="s">
        <v>127</v>
      </c>
      <c r="F14" s="8">
        <v>6.31</v>
      </c>
      <c r="G14" s="14">
        <v>83</v>
      </c>
      <c r="H14" s="16">
        <v>0.07</v>
      </c>
      <c r="I14" s="17">
        <f t="shared" si="0"/>
        <v>88.81</v>
      </c>
      <c r="J14" s="9"/>
      <c r="K14" s="18">
        <f t="shared" si="1"/>
        <v>0</v>
      </c>
      <c r="L14" s="18">
        <f t="shared" si="2"/>
        <v>0</v>
      </c>
      <c r="M14" s="17">
        <f t="shared" si="3"/>
        <v>0</v>
      </c>
      <c r="N14" s="19">
        <f t="shared" si="4"/>
        <v>0</v>
      </c>
    </row>
    <row r="15" spans="1:16">
      <c r="A15" s="13"/>
      <c r="B15" s="20" t="s">
        <v>133</v>
      </c>
      <c r="C15" s="9" t="s">
        <v>99</v>
      </c>
      <c r="D15" s="14" t="s">
        <v>126</v>
      </c>
      <c r="E15" s="15" t="s">
        <v>127</v>
      </c>
      <c r="F15" s="8">
        <v>5.9</v>
      </c>
      <c r="G15" s="14">
        <v>67</v>
      </c>
      <c r="H15" s="16">
        <v>0.07</v>
      </c>
      <c r="I15" s="17">
        <f t="shared" si="0"/>
        <v>71.69</v>
      </c>
      <c r="J15" s="9"/>
      <c r="K15" s="18">
        <f t="shared" si="1"/>
        <v>0</v>
      </c>
      <c r="L15" s="18">
        <f t="shared" si="2"/>
        <v>0</v>
      </c>
      <c r="M15" s="17">
        <f t="shared" si="3"/>
        <v>0</v>
      </c>
      <c r="N15" s="19">
        <f t="shared" si="4"/>
        <v>0</v>
      </c>
    </row>
    <row r="16" spans="1:16">
      <c r="A16" s="13"/>
      <c r="B16" s="20" t="s">
        <v>134</v>
      </c>
      <c r="C16" s="9" t="s">
        <v>99</v>
      </c>
      <c r="D16" s="14" t="s">
        <v>126</v>
      </c>
      <c r="E16" s="15" t="s">
        <v>127</v>
      </c>
      <c r="F16" s="8">
        <v>6.37</v>
      </c>
      <c r="G16" s="14">
        <v>81</v>
      </c>
      <c r="H16" s="16">
        <v>0.07</v>
      </c>
      <c r="I16" s="17">
        <f t="shared" si="0"/>
        <v>86.67</v>
      </c>
      <c r="J16" s="9"/>
      <c r="K16" s="18">
        <f t="shared" si="1"/>
        <v>0</v>
      </c>
      <c r="L16" s="18">
        <f t="shared" si="2"/>
        <v>0</v>
      </c>
      <c r="M16" s="17">
        <f t="shared" si="3"/>
        <v>0</v>
      </c>
      <c r="N16" s="19">
        <f t="shared" si="4"/>
        <v>0</v>
      </c>
    </row>
    <row r="17" spans="1:14">
      <c r="A17" s="13"/>
      <c r="B17" s="20" t="s">
        <v>135</v>
      </c>
      <c r="C17" s="9" t="s">
        <v>99</v>
      </c>
      <c r="D17" s="14" t="s">
        <v>136</v>
      </c>
      <c r="E17" s="15" t="s">
        <v>129</v>
      </c>
      <c r="F17" s="8">
        <v>5.8</v>
      </c>
      <c r="G17" s="14">
        <v>68</v>
      </c>
      <c r="H17" s="16">
        <v>0.07</v>
      </c>
      <c r="I17" s="17">
        <f t="shared" si="0"/>
        <v>72.76</v>
      </c>
      <c r="J17" s="9"/>
      <c r="K17" s="18">
        <f t="shared" si="1"/>
        <v>0</v>
      </c>
      <c r="L17" s="18">
        <f t="shared" si="2"/>
        <v>0</v>
      </c>
      <c r="M17" s="17">
        <f t="shared" si="3"/>
        <v>0</v>
      </c>
      <c r="N17" s="19">
        <f t="shared" si="4"/>
        <v>0</v>
      </c>
    </row>
    <row r="18" spans="1:14">
      <c r="A18" s="13"/>
      <c r="B18" s="13" t="s">
        <v>137</v>
      </c>
      <c r="C18" s="9" t="s">
        <v>99</v>
      </c>
      <c r="D18" s="14" t="s">
        <v>136</v>
      </c>
      <c r="E18" s="15" t="s">
        <v>129</v>
      </c>
      <c r="F18" s="8">
        <v>6.4</v>
      </c>
      <c r="G18" s="14">
        <v>69</v>
      </c>
      <c r="H18" s="16">
        <v>0.07</v>
      </c>
      <c r="I18" s="17">
        <f t="shared" si="0"/>
        <v>73.83</v>
      </c>
      <c r="J18" s="9"/>
      <c r="K18" s="18">
        <f t="shared" si="1"/>
        <v>0</v>
      </c>
      <c r="L18" s="18">
        <f t="shared" si="2"/>
        <v>0</v>
      </c>
      <c r="M18" s="17">
        <f t="shared" si="3"/>
        <v>0</v>
      </c>
      <c r="N18" s="19">
        <f t="shared" si="4"/>
        <v>0</v>
      </c>
    </row>
    <row r="19" spans="1:14">
      <c r="A19" s="13"/>
      <c r="B19" s="13" t="s">
        <v>138</v>
      </c>
      <c r="C19" s="9" t="s">
        <v>99</v>
      </c>
      <c r="D19" s="14" t="s">
        <v>136</v>
      </c>
      <c r="E19" s="15" t="s">
        <v>127</v>
      </c>
      <c r="F19" s="8">
        <v>5.73</v>
      </c>
      <c r="G19" s="14">
        <v>75</v>
      </c>
      <c r="H19" s="16">
        <v>0.07</v>
      </c>
      <c r="I19" s="17">
        <f t="shared" si="0"/>
        <v>80.25</v>
      </c>
      <c r="J19" s="9"/>
      <c r="K19" s="18">
        <f t="shared" si="1"/>
        <v>0</v>
      </c>
      <c r="L19" s="18">
        <f t="shared" si="2"/>
        <v>0</v>
      </c>
      <c r="M19" s="17">
        <f t="shared" si="3"/>
        <v>0</v>
      </c>
      <c r="N19" s="19">
        <f t="shared" si="4"/>
        <v>0</v>
      </c>
    </row>
    <row r="20" spans="1:14">
      <c r="A20" s="13"/>
      <c r="B20" s="20" t="s">
        <v>139</v>
      </c>
      <c r="C20" s="9" t="s">
        <v>99</v>
      </c>
      <c r="D20" s="14" t="s">
        <v>136</v>
      </c>
      <c r="E20" s="15" t="s">
        <v>127</v>
      </c>
      <c r="F20" s="8">
        <v>5.9</v>
      </c>
      <c r="G20" s="14">
        <v>76</v>
      </c>
      <c r="H20" s="16">
        <v>0.07</v>
      </c>
      <c r="I20" s="17">
        <f t="shared" si="0"/>
        <v>81.32</v>
      </c>
      <c r="J20" s="9"/>
      <c r="K20" s="18">
        <f t="shared" si="1"/>
        <v>0</v>
      </c>
      <c r="L20" s="18">
        <f t="shared" si="2"/>
        <v>0</v>
      </c>
      <c r="M20" s="17">
        <f t="shared" si="3"/>
        <v>0</v>
      </c>
      <c r="N20" s="19">
        <f t="shared" si="4"/>
        <v>0</v>
      </c>
    </row>
    <row r="21" spans="1:14">
      <c r="A21" s="13"/>
      <c r="B21" s="13" t="s">
        <v>140</v>
      </c>
      <c r="C21" s="9" t="s">
        <v>99</v>
      </c>
      <c r="D21" s="14" t="s">
        <v>136</v>
      </c>
      <c r="E21" s="15" t="s">
        <v>127</v>
      </c>
      <c r="F21" s="8">
        <v>7.05</v>
      </c>
      <c r="G21" s="14">
        <v>90</v>
      </c>
      <c r="H21" s="16">
        <v>0.07</v>
      </c>
      <c r="I21" s="17">
        <f t="shared" si="0"/>
        <v>96.3</v>
      </c>
      <c r="J21" s="9"/>
      <c r="K21" s="18">
        <f t="shared" si="1"/>
        <v>0</v>
      </c>
      <c r="L21" s="18">
        <f t="shared" si="2"/>
        <v>0</v>
      </c>
      <c r="M21" s="17">
        <f t="shared" si="3"/>
        <v>0</v>
      </c>
      <c r="N21" s="19">
        <f t="shared" si="4"/>
        <v>0</v>
      </c>
    </row>
    <row r="22" spans="1:14">
      <c r="A22" s="13"/>
      <c r="B22" s="13" t="s">
        <v>141</v>
      </c>
      <c r="C22" s="9" t="s">
        <v>99</v>
      </c>
      <c r="D22" s="14" t="s">
        <v>136</v>
      </c>
      <c r="E22" s="15" t="s">
        <v>127</v>
      </c>
      <c r="F22" s="8"/>
      <c r="G22" s="14"/>
      <c r="H22" s="16"/>
      <c r="I22" s="17"/>
      <c r="J22" s="9"/>
      <c r="K22" s="18">
        <f t="shared" si="1"/>
        <v>0</v>
      </c>
      <c r="L22" s="18">
        <f t="shared" si="2"/>
        <v>0</v>
      </c>
      <c r="M22" s="17">
        <f t="shared" si="3"/>
        <v>0</v>
      </c>
      <c r="N22" s="19">
        <f t="shared" si="4"/>
        <v>0</v>
      </c>
    </row>
    <row r="23" spans="1:14">
      <c r="A23" s="13"/>
      <c r="B23" s="13" t="s">
        <v>142</v>
      </c>
      <c r="C23" s="9" t="s">
        <v>99</v>
      </c>
      <c r="D23" s="14" t="s">
        <v>143</v>
      </c>
      <c r="E23" s="15" t="s">
        <v>129</v>
      </c>
      <c r="F23" s="8">
        <v>3.96</v>
      </c>
      <c r="G23" s="14">
        <v>59</v>
      </c>
      <c r="H23" s="16">
        <v>0.07</v>
      </c>
      <c r="I23" s="17">
        <f t="shared" ref="I23:I29" si="5">G23*(1+H23)</f>
        <v>63.13</v>
      </c>
      <c r="J23" s="9"/>
      <c r="K23" s="18">
        <f t="shared" si="1"/>
        <v>0</v>
      </c>
      <c r="L23" s="18">
        <f t="shared" si="2"/>
        <v>0</v>
      </c>
      <c r="M23" s="17">
        <f t="shared" si="3"/>
        <v>0</v>
      </c>
      <c r="N23" s="19">
        <f t="shared" si="4"/>
        <v>0</v>
      </c>
    </row>
    <row r="24" spans="1:14">
      <c r="A24" s="13"/>
      <c r="B24" s="13" t="s">
        <v>144</v>
      </c>
      <c r="C24" s="9" t="s">
        <v>99</v>
      </c>
      <c r="D24" s="14" t="s">
        <v>136</v>
      </c>
      <c r="E24" s="15" t="s">
        <v>127</v>
      </c>
      <c r="F24" s="8">
        <v>6.46</v>
      </c>
      <c r="G24" s="14">
        <v>83</v>
      </c>
      <c r="H24" s="16">
        <v>0.07</v>
      </c>
      <c r="I24" s="17">
        <f t="shared" si="5"/>
        <v>88.81</v>
      </c>
      <c r="J24" s="9"/>
      <c r="K24" s="18">
        <f t="shared" si="1"/>
        <v>0</v>
      </c>
      <c r="L24" s="18">
        <f t="shared" si="2"/>
        <v>0</v>
      </c>
      <c r="M24" s="17">
        <f t="shared" si="3"/>
        <v>0</v>
      </c>
      <c r="N24" s="19">
        <f t="shared" si="4"/>
        <v>0</v>
      </c>
    </row>
    <row r="25" spans="1:14">
      <c r="A25" s="13"/>
      <c r="B25" s="20" t="s">
        <v>145</v>
      </c>
      <c r="C25" s="9" t="s">
        <v>99</v>
      </c>
      <c r="D25" s="14" t="s">
        <v>136</v>
      </c>
      <c r="E25" s="15" t="s">
        <v>127</v>
      </c>
      <c r="F25" s="8">
        <v>6.11</v>
      </c>
      <c r="G25" s="14">
        <v>78</v>
      </c>
      <c r="H25" s="16">
        <v>0.07</v>
      </c>
      <c r="I25" s="17">
        <f t="shared" si="5"/>
        <v>83.46</v>
      </c>
      <c r="J25" s="9"/>
      <c r="K25" s="18">
        <f t="shared" si="1"/>
        <v>0</v>
      </c>
      <c r="L25" s="18">
        <f t="shared" si="2"/>
        <v>0</v>
      </c>
      <c r="M25" s="17">
        <f t="shared" si="3"/>
        <v>0</v>
      </c>
      <c r="N25" s="19">
        <f t="shared" si="4"/>
        <v>0</v>
      </c>
    </row>
    <row r="26" spans="1:14">
      <c r="A26" s="13"/>
      <c r="B26" s="13" t="s">
        <v>146</v>
      </c>
      <c r="C26" s="9" t="s">
        <v>99</v>
      </c>
      <c r="D26" s="14" t="s">
        <v>136</v>
      </c>
      <c r="E26" s="15" t="s">
        <v>127</v>
      </c>
      <c r="F26" s="8">
        <v>6.68</v>
      </c>
      <c r="G26" s="14">
        <v>85</v>
      </c>
      <c r="H26" s="16">
        <v>0.07</v>
      </c>
      <c r="I26" s="17">
        <f t="shared" si="5"/>
        <v>90.95</v>
      </c>
      <c r="J26" s="9"/>
      <c r="K26" s="18">
        <f t="shared" si="1"/>
        <v>0</v>
      </c>
      <c r="L26" s="18">
        <f t="shared" si="2"/>
        <v>0</v>
      </c>
      <c r="M26" s="17">
        <f t="shared" si="3"/>
        <v>0</v>
      </c>
      <c r="N26" s="19">
        <f t="shared" si="4"/>
        <v>0</v>
      </c>
    </row>
    <row r="27" spans="1:14">
      <c r="A27" s="13"/>
      <c r="B27" s="13" t="s">
        <v>147</v>
      </c>
      <c r="C27" s="9" t="s">
        <v>99</v>
      </c>
      <c r="D27" s="14" t="s">
        <v>126</v>
      </c>
      <c r="E27" s="15" t="s">
        <v>127</v>
      </c>
      <c r="F27" s="8">
        <v>5.34</v>
      </c>
      <c r="G27" s="14">
        <v>78</v>
      </c>
      <c r="H27" s="16">
        <v>0.07</v>
      </c>
      <c r="I27" s="17">
        <f t="shared" si="5"/>
        <v>83.46</v>
      </c>
      <c r="J27" s="9"/>
      <c r="K27" s="18">
        <f t="shared" si="1"/>
        <v>0</v>
      </c>
      <c r="L27" s="18">
        <f t="shared" si="2"/>
        <v>0</v>
      </c>
      <c r="M27" s="17">
        <f t="shared" si="3"/>
        <v>0</v>
      </c>
      <c r="N27" s="19">
        <f t="shared" si="4"/>
        <v>0</v>
      </c>
    </row>
    <row r="28" spans="1:14">
      <c r="A28" s="13" t="s">
        <v>148</v>
      </c>
      <c r="B28" s="13" t="s">
        <v>149</v>
      </c>
      <c r="C28" s="9" t="s">
        <v>100</v>
      </c>
      <c r="D28" s="14" t="s">
        <v>136</v>
      </c>
      <c r="E28" s="15" t="s">
        <v>127</v>
      </c>
      <c r="F28" s="8">
        <v>5.5</v>
      </c>
      <c r="G28" s="14">
        <v>77</v>
      </c>
      <c r="H28" s="16">
        <v>0.11</v>
      </c>
      <c r="I28" s="17">
        <f t="shared" si="5"/>
        <v>85.47</v>
      </c>
      <c r="J28" s="9"/>
      <c r="K28" s="18">
        <f t="shared" si="1"/>
        <v>0</v>
      </c>
      <c r="L28" s="18">
        <f t="shared" si="2"/>
        <v>0</v>
      </c>
      <c r="M28" s="17">
        <f t="shared" si="3"/>
        <v>0</v>
      </c>
      <c r="N28" s="19">
        <f t="shared" si="4"/>
        <v>0</v>
      </c>
    </row>
    <row r="29" spans="1:14">
      <c r="A29" s="13" t="s">
        <v>148</v>
      </c>
      <c r="B29" s="13" t="s">
        <v>150</v>
      </c>
      <c r="C29" s="9" t="s">
        <v>100</v>
      </c>
      <c r="D29" s="14" t="s">
        <v>136</v>
      </c>
      <c r="E29" s="15" t="s">
        <v>127</v>
      </c>
      <c r="F29" s="8">
        <v>7</v>
      </c>
      <c r="G29" s="14">
        <v>81</v>
      </c>
      <c r="H29" s="16">
        <v>0.11</v>
      </c>
      <c r="I29" s="17">
        <f t="shared" si="5"/>
        <v>89.91</v>
      </c>
      <c r="J29" s="9"/>
      <c r="K29" s="18">
        <f t="shared" si="1"/>
        <v>0</v>
      </c>
      <c r="L29" s="18">
        <f t="shared" si="2"/>
        <v>0</v>
      </c>
      <c r="M29" s="17">
        <f t="shared" si="3"/>
        <v>0</v>
      </c>
      <c r="N29" s="19">
        <f t="shared" si="4"/>
        <v>0</v>
      </c>
    </row>
    <row r="30" ht="14.25" customHeight="1" spans="1:14">
      <c r="A30" s="13" t="s">
        <v>148</v>
      </c>
      <c r="B30" s="21" t="s">
        <v>151</v>
      </c>
      <c r="C30" s="9" t="s">
        <v>100</v>
      </c>
      <c r="D30" s="14" t="s">
        <v>126</v>
      </c>
      <c r="E30" s="15" t="s">
        <v>127</v>
      </c>
      <c r="F30" s="8">
        <v>7</v>
      </c>
      <c r="G30" s="14"/>
      <c r="H30" s="16">
        <v>0.11</v>
      </c>
      <c r="I30" s="17">
        <v>89.91</v>
      </c>
      <c r="J30" s="9"/>
      <c r="K30" s="18">
        <f t="shared" si="1"/>
        <v>0</v>
      </c>
      <c r="L30" s="18">
        <f t="shared" si="2"/>
        <v>0</v>
      </c>
      <c r="M30" s="17">
        <f t="shared" si="3"/>
        <v>0</v>
      </c>
      <c r="N30" s="19">
        <f t="shared" si="4"/>
        <v>0</v>
      </c>
    </row>
    <row r="31" spans="1:14">
      <c r="A31" s="13"/>
      <c r="B31" s="13" t="s">
        <v>152</v>
      </c>
      <c r="C31" s="9" t="s">
        <v>91</v>
      </c>
      <c r="D31" s="14" t="s">
        <v>136</v>
      </c>
      <c r="E31" s="15" t="s">
        <v>129</v>
      </c>
      <c r="F31" s="8">
        <v>4</v>
      </c>
      <c r="G31" s="14">
        <v>55</v>
      </c>
      <c r="H31" s="16">
        <v>0.08</v>
      </c>
      <c r="I31" s="17">
        <f t="shared" ref="I31:I43" si="6">G31*(1+H31)</f>
        <v>59.4</v>
      </c>
      <c r="J31" s="9"/>
      <c r="K31" s="18">
        <f t="shared" si="1"/>
        <v>0</v>
      </c>
      <c r="L31" s="18">
        <f t="shared" si="2"/>
        <v>0</v>
      </c>
      <c r="M31" s="17">
        <f t="shared" si="3"/>
        <v>0</v>
      </c>
      <c r="N31" s="19">
        <f t="shared" si="4"/>
        <v>0</v>
      </c>
    </row>
    <row r="32" spans="1:14">
      <c r="A32" s="13"/>
      <c r="B32" s="20" t="s">
        <v>153</v>
      </c>
      <c r="C32" s="9" t="s">
        <v>91</v>
      </c>
      <c r="D32" s="14" t="s">
        <v>136</v>
      </c>
      <c r="E32" s="15" t="s">
        <v>124</v>
      </c>
      <c r="F32" s="8">
        <v>7</v>
      </c>
      <c r="G32" s="14">
        <v>70</v>
      </c>
      <c r="H32" s="16">
        <v>0.08</v>
      </c>
      <c r="I32" s="17">
        <f t="shared" si="6"/>
        <v>75.6</v>
      </c>
      <c r="J32" s="9"/>
      <c r="K32" s="18">
        <f t="shared" si="1"/>
        <v>0</v>
      </c>
      <c r="L32" s="18">
        <f t="shared" si="2"/>
        <v>0</v>
      </c>
      <c r="M32" s="17">
        <f t="shared" si="3"/>
        <v>0</v>
      </c>
      <c r="N32" s="19">
        <f t="shared" si="4"/>
        <v>0</v>
      </c>
    </row>
    <row r="33" spans="1:14">
      <c r="A33" s="13"/>
      <c r="B33" s="20" t="s">
        <v>154</v>
      </c>
      <c r="C33" s="9" t="s">
        <v>91</v>
      </c>
      <c r="D33" s="14" t="s">
        <v>126</v>
      </c>
      <c r="E33" s="15" t="s">
        <v>127</v>
      </c>
      <c r="F33" s="8">
        <v>6</v>
      </c>
      <c r="G33" s="14">
        <v>66</v>
      </c>
      <c r="H33" s="16">
        <v>0.08</v>
      </c>
      <c r="I33" s="17">
        <f t="shared" si="6"/>
        <v>71.28</v>
      </c>
      <c r="J33" s="9"/>
      <c r="K33" s="18">
        <f t="shared" si="1"/>
        <v>0</v>
      </c>
      <c r="L33" s="18">
        <f t="shared" si="2"/>
        <v>0</v>
      </c>
      <c r="M33" s="17">
        <f t="shared" si="3"/>
        <v>0</v>
      </c>
      <c r="N33" s="19">
        <f t="shared" si="4"/>
        <v>0</v>
      </c>
    </row>
    <row r="34" spans="1:14">
      <c r="A34" s="13"/>
      <c r="B34" s="13" t="s">
        <v>155</v>
      </c>
      <c r="C34" s="9" t="s">
        <v>91</v>
      </c>
      <c r="D34" s="14" t="s">
        <v>126</v>
      </c>
      <c r="E34" s="15" t="s">
        <v>127</v>
      </c>
      <c r="F34" s="8">
        <v>6</v>
      </c>
      <c r="G34" s="14">
        <v>68</v>
      </c>
      <c r="H34" s="16">
        <v>0.08</v>
      </c>
      <c r="I34" s="17">
        <f t="shared" si="6"/>
        <v>73.44</v>
      </c>
      <c r="J34" s="9"/>
      <c r="K34" s="18">
        <f t="shared" si="1"/>
        <v>0</v>
      </c>
      <c r="L34" s="18">
        <f t="shared" si="2"/>
        <v>0</v>
      </c>
      <c r="M34" s="17">
        <f t="shared" si="3"/>
        <v>0</v>
      </c>
      <c r="N34" s="19">
        <f t="shared" si="4"/>
        <v>0</v>
      </c>
    </row>
    <row r="35" spans="1:14">
      <c r="A35" s="13"/>
      <c r="B35" s="20" t="s">
        <v>156</v>
      </c>
      <c r="C35" s="9" t="s">
        <v>91</v>
      </c>
      <c r="D35" s="14" t="s">
        <v>126</v>
      </c>
      <c r="E35" s="15" t="s">
        <v>124</v>
      </c>
      <c r="F35" s="8">
        <v>8</v>
      </c>
      <c r="G35" s="14">
        <v>108</v>
      </c>
      <c r="H35" s="16">
        <v>0.08</v>
      </c>
      <c r="I35" s="17">
        <f t="shared" si="6"/>
        <v>116.64</v>
      </c>
      <c r="J35" s="9"/>
      <c r="K35" s="18">
        <f t="shared" si="1"/>
        <v>0</v>
      </c>
      <c r="L35" s="18">
        <f t="shared" si="2"/>
        <v>0</v>
      </c>
      <c r="M35" s="17">
        <f t="shared" si="3"/>
        <v>0</v>
      </c>
      <c r="N35" s="19">
        <f t="shared" si="4"/>
        <v>0</v>
      </c>
    </row>
    <row r="36" spans="1:14">
      <c r="A36" s="13"/>
      <c r="B36" s="13" t="s">
        <v>157</v>
      </c>
      <c r="C36" s="9" t="s">
        <v>91</v>
      </c>
      <c r="D36" s="14" t="s">
        <v>126</v>
      </c>
      <c r="E36" s="15" t="s">
        <v>124</v>
      </c>
      <c r="F36" s="8">
        <v>8</v>
      </c>
      <c r="G36" s="14">
        <v>117</v>
      </c>
      <c r="H36" s="16">
        <v>0.08</v>
      </c>
      <c r="I36" s="17">
        <f t="shared" si="6"/>
        <v>126.36</v>
      </c>
      <c r="J36" s="9"/>
      <c r="K36" s="18">
        <f t="shared" si="1"/>
        <v>0</v>
      </c>
      <c r="L36" s="18">
        <f t="shared" si="2"/>
        <v>0</v>
      </c>
      <c r="M36" s="17">
        <f t="shared" si="3"/>
        <v>0</v>
      </c>
      <c r="N36" s="19">
        <f t="shared" si="4"/>
        <v>0</v>
      </c>
    </row>
    <row r="37" spans="1:14">
      <c r="A37" s="13"/>
      <c r="B37" s="20" t="s">
        <v>158</v>
      </c>
      <c r="C37" s="9" t="s">
        <v>91</v>
      </c>
      <c r="D37" s="14" t="s">
        <v>123</v>
      </c>
      <c r="E37" s="15" t="s">
        <v>124</v>
      </c>
      <c r="F37" s="8">
        <v>3.7</v>
      </c>
      <c r="G37" s="14">
        <v>52</v>
      </c>
      <c r="H37" s="16">
        <v>0.08</v>
      </c>
      <c r="I37" s="17">
        <f t="shared" si="6"/>
        <v>56.16</v>
      </c>
      <c r="J37" s="9"/>
      <c r="K37" s="18">
        <f t="shared" si="1"/>
        <v>0</v>
      </c>
      <c r="L37" s="18">
        <f t="shared" si="2"/>
        <v>0</v>
      </c>
      <c r="M37" s="17">
        <f t="shared" si="3"/>
        <v>0</v>
      </c>
      <c r="N37" s="19">
        <f t="shared" si="4"/>
        <v>0</v>
      </c>
    </row>
    <row r="38" spans="1:14">
      <c r="A38" s="13"/>
      <c r="B38" s="13" t="s">
        <v>159</v>
      </c>
      <c r="C38" s="9" t="s">
        <v>91</v>
      </c>
      <c r="D38" s="14" t="s">
        <v>136</v>
      </c>
      <c r="E38" s="15" t="s">
        <v>127</v>
      </c>
      <c r="F38" s="8">
        <v>7</v>
      </c>
      <c r="G38" s="14">
        <v>69</v>
      </c>
      <c r="H38" s="16">
        <v>0.08</v>
      </c>
      <c r="I38" s="17">
        <f t="shared" si="6"/>
        <v>74.52</v>
      </c>
      <c r="J38" s="9"/>
      <c r="K38" s="18">
        <f t="shared" si="1"/>
        <v>0</v>
      </c>
      <c r="L38" s="18">
        <f t="shared" si="2"/>
        <v>0</v>
      </c>
      <c r="M38" s="17">
        <f t="shared" si="3"/>
        <v>0</v>
      </c>
      <c r="N38" s="19">
        <f t="shared" si="4"/>
        <v>0</v>
      </c>
    </row>
    <row r="39" spans="1:14">
      <c r="A39" s="13"/>
      <c r="B39" s="13" t="s">
        <v>160</v>
      </c>
      <c r="C39" s="9" t="s">
        <v>91</v>
      </c>
      <c r="D39" s="14" t="s">
        <v>136</v>
      </c>
      <c r="E39" s="15" t="s">
        <v>127</v>
      </c>
      <c r="F39" s="8">
        <v>7</v>
      </c>
      <c r="G39" s="14">
        <v>69</v>
      </c>
      <c r="H39" s="16">
        <v>0.08</v>
      </c>
      <c r="I39" s="17">
        <f t="shared" si="6"/>
        <v>74.52</v>
      </c>
      <c r="J39" s="9"/>
      <c r="K39" s="18">
        <f t="shared" si="1"/>
        <v>0</v>
      </c>
      <c r="L39" s="18">
        <f t="shared" si="2"/>
        <v>0</v>
      </c>
      <c r="M39" s="17">
        <f t="shared" si="3"/>
        <v>0</v>
      </c>
      <c r="N39" s="19">
        <f t="shared" si="4"/>
        <v>0</v>
      </c>
    </row>
    <row r="40" spans="1:14">
      <c r="A40" s="13"/>
      <c r="B40" s="13" t="s">
        <v>161</v>
      </c>
      <c r="C40" s="9" t="s">
        <v>100</v>
      </c>
      <c r="D40" s="14" t="s">
        <v>136</v>
      </c>
      <c r="E40" s="15" t="s">
        <v>129</v>
      </c>
      <c r="F40" s="8">
        <v>4.9</v>
      </c>
      <c r="G40" s="14">
        <v>68</v>
      </c>
      <c r="H40" s="16">
        <v>0.11</v>
      </c>
      <c r="I40" s="17">
        <f t="shared" si="6"/>
        <v>75.48</v>
      </c>
      <c r="J40" s="9"/>
      <c r="K40" s="18">
        <f t="shared" si="1"/>
        <v>0</v>
      </c>
      <c r="L40" s="18">
        <f t="shared" si="2"/>
        <v>0</v>
      </c>
      <c r="M40" s="17">
        <f t="shared" si="3"/>
        <v>0</v>
      </c>
      <c r="N40" s="19">
        <f t="shared" si="4"/>
        <v>0</v>
      </c>
    </row>
    <row r="41" spans="1:14">
      <c r="A41" s="13"/>
      <c r="B41" s="13" t="s">
        <v>162</v>
      </c>
      <c r="C41" s="9" t="s">
        <v>100</v>
      </c>
      <c r="D41" s="14" t="s">
        <v>136</v>
      </c>
      <c r="E41" s="15" t="s">
        <v>129</v>
      </c>
      <c r="F41" s="8">
        <v>5.5</v>
      </c>
      <c r="G41" s="14">
        <v>76</v>
      </c>
      <c r="H41" s="16">
        <v>0.11</v>
      </c>
      <c r="I41" s="17">
        <f t="shared" si="6"/>
        <v>84.36</v>
      </c>
      <c r="J41" s="9"/>
      <c r="K41" s="18">
        <f t="shared" si="1"/>
        <v>0</v>
      </c>
      <c r="L41" s="18">
        <f t="shared" si="2"/>
        <v>0</v>
      </c>
      <c r="M41" s="17">
        <f t="shared" si="3"/>
        <v>0</v>
      </c>
      <c r="N41" s="19">
        <f t="shared" si="4"/>
        <v>0</v>
      </c>
    </row>
    <row r="42" spans="1:14">
      <c r="A42" s="13"/>
      <c r="B42" s="13" t="s">
        <v>163</v>
      </c>
      <c r="C42" s="9" t="s">
        <v>100</v>
      </c>
      <c r="D42" s="14" t="s">
        <v>136</v>
      </c>
      <c r="E42" s="15" t="s">
        <v>129</v>
      </c>
      <c r="F42" s="8">
        <v>6</v>
      </c>
      <c r="G42" s="14">
        <v>79</v>
      </c>
      <c r="H42" s="16">
        <v>0.11</v>
      </c>
      <c r="I42" s="17">
        <f t="shared" si="6"/>
        <v>87.69</v>
      </c>
      <c r="J42" s="9"/>
      <c r="K42" s="18">
        <f t="shared" si="1"/>
        <v>0</v>
      </c>
      <c r="L42" s="18">
        <f t="shared" si="2"/>
        <v>0</v>
      </c>
      <c r="M42" s="17">
        <f t="shared" si="3"/>
        <v>0</v>
      </c>
      <c r="N42" s="19">
        <f t="shared" si="4"/>
        <v>0</v>
      </c>
    </row>
    <row r="43" spans="1:14">
      <c r="A43" s="13"/>
      <c r="B43" s="13" t="s">
        <v>164</v>
      </c>
      <c r="C43" s="9" t="s">
        <v>100</v>
      </c>
      <c r="D43" s="14" t="s">
        <v>136</v>
      </c>
      <c r="E43" s="15" t="s">
        <v>129</v>
      </c>
      <c r="F43" s="8">
        <v>7</v>
      </c>
      <c r="G43" s="14">
        <v>86</v>
      </c>
      <c r="H43" s="16">
        <v>0.11</v>
      </c>
      <c r="I43" s="17">
        <f t="shared" si="6"/>
        <v>95.46</v>
      </c>
      <c r="J43" s="9"/>
      <c r="K43" s="18">
        <f t="shared" si="1"/>
        <v>0</v>
      </c>
      <c r="L43" s="18">
        <f t="shared" si="2"/>
        <v>0</v>
      </c>
      <c r="M43" s="17">
        <f t="shared" si="3"/>
        <v>0</v>
      </c>
      <c r="N43" s="19">
        <f t="shared" si="4"/>
        <v>0</v>
      </c>
    </row>
    <row r="44" spans="1:14">
      <c r="A44" s="13"/>
      <c r="B44" s="20" t="s">
        <v>165</v>
      </c>
      <c r="C44" s="9" t="s">
        <v>97</v>
      </c>
      <c r="D44" s="14" t="s">
        <v>136</v>
      </c>
      <c r="E44" s="15" t="s">
        <v>166</v>
      </c>
      <c r="F44" s="8">
        <v>11.8</v>
      </c>
      <c r="G44" s="14">
        <f t="shared" ref="G44:G50" si="7">I44/(1+H44)</f>
        <v>119.811320754717</v>
      </c>
      <c r="H44" s="16">
        <v>0.06</v>
      </c>
      <c r="I44" s="17">
        <v>127</v>
      </c>
      <c r="J44" s="9"/>
      <c r="K44" s="18">
        <f t="shared" si="1"/>
        <v>0</v>
      </c>
      <c r="L44" s="18">
        <f t="shared" si="2"/>
        <v>0</v>
      </c>
      <c r="M44" s="17">
        <f t="shared" si="3"/>
        <v>0</v>
      </c>
      <c r="N44" s="19">
        <f t="shared" si="4"/>
        <v>0</v>
      </c>
    </row>
    <row r="45" spans="1:14">
      <c r="A45" s="13"/>
      <c r="B45" s="13" t="s">
        <v>167</v>
      </c>
      <c r="C45" s="9" t="s">
        <v>97</v>
      </c>
      <c r="D45" s="14" t="s">
        <v>136</v>
      </c>
      <c r="E45" s="15" t="s">
        <v>129</v>
      </c>
      <c r="F45" s="8">
        <v>10.5</v>
      </c>
      <c r="G45" s="14">
        <f t="shared" si="7"/>
        <v>113.207547169811</v>
      </c>
      <c r="H45" s="16">
        <v>0.06</v>
      </c>
      <c r="I45" s="17">
        <v>120</v>
      </c>
      <c r="J45" s="9"/>
      <c r="K45" s="18">
        <f t="shared" si="1"/>
        <v>0</v>
      </c>
      <c r="L45" s="18">
        <f t="shared" si="2"/>
        <v>0</v>
      </c>
      <c r="M45" s="17">
        <f t="shared" si="3"/>
        <v>0</v>
      </c>
      <c r="N45" s="19">
        <f t="shared" si="4"/>
        <v>0</v>
      </c>
    </row>
    <row r="46" spans="1:14">
      <c r="A46" s="13"/>
      <c r="B46" s="13" t="s">
        <v>168</v>
      </c>
      <c r="C46" s="9" t="s">
        <v>97</v>
      </c>
      <c r="D46" s="14" t="s">
        <v>136</v>
      </c>
      <c r="E46" s="15" t="s">
        <v>129</v>
      </c>
      <c r="F46" s="8">
        <v>13</v>
      </c>
      <c r="G46" s="14"/>
      <c r="H46" s="16">
        <v>0.06</v>
      </c>
      <c r="I46" s="17">
        <v>162</v>
      </c>
      <c r="J46" s="9"/>
      <c r="K46" s="18">
        <f t="shared" si="1"/>
        <v>0</v>
      </c>
      <c r="L46" s="18">
        <f t="shared" si="2"/>
        <v>0</v>
      </c>
      <c r="M46" s="17">
        <f t="shared" si="3"/>
        <v>0</v>
      </c>
      <c r="N46" s="19">
        <f t="shared" si="4"/>
        <v>0</v>
      </c>
    </row>
    <row r="47" spans="1:14">
      <c r="A47" s="13"/>
      <c r="B47" s="13" t="s">
        <v>169</v>
      </c>
      <c r="C47" s="9" t="s">
        <v>97</v>
      </c>
      <c r="D47" s="14" t="s">
        <v>126</v>
      </c>
      <c r="E47" s="15" t="s">
        <v>129</v>
      </c>
      <c r="F47" s="8">
        <v>8.83</v>
      </c>
      <c r="G47" s="14">
        <f t="shared" si="7"/>
        <v>76.4150943396226</v>
      </c>
      <c r="H47" s="16">
        <v>0.06</v>
      </c>
      <c r="I47" s="17">
        <v>81</v>
      </c>
      <c r="J47" s="9">
        <v>1</v>
      </c>
      <c r="K47" s="18">
        <f t="shared" si="1"/>
        <v>8.83</v>
      </c>
      <c r="L47" s="18">
        <f t="shared" si="2"/>
        <v>9.33</v>
      </c>
      <c r="M47" s="17">
        <f t="shared" si="3"/>
        <v>81</v>
      </c>
      <c r="N47" s="19">
        <f t="shared" si="4"/>
        <v>82</v>
      </c>
    </row>
    <row r="48" ht="14.25" spans="1:14">
      <c r="A48" s="13"/>
      <c r="B48" s="22" t="s">
        <v>170</v>
      </c>
      <c r="C48" s="9" t="s">
        <v>97</v>
      </c>
      <c r="D48" s="14" t="s">
        <v>126</v>
      </c>
      <c r="E48" s="15"/>
      <c r="F48" s="8">
        <v>10.5</v>
      </c>
      <c r="G48" s="14">
        <f t="shared" si="7"/>
        <v>107.547169811321</v>
      </c>
      <c r="H48" s="16">
        <v>0.06</v>
      </c>
      <c r="I48" s="17">
        <v>114</v>
      </c>
      <c r="J48" s="9"/>
      <c r="K48" s="18">
        <f t="shared" si="1"/>
        <v>0</v>
      </c>
      <c r="L48" s="18">
        <f t="shared" si="2"/>
        <v>0</v>
      </c>
      <c r="M48" s="17">
        <f t="shared" si="3"/>
        <v>0</v>
      </c>
      <c r="N48" s="19">
        <f t="shared" si="4"/>
        <v>0</v>
      </c>
    </row>
    <row r="49" ht="14.25" customHeight="1" spans="1:14">
      <c r="A49" s="13"/>
      <c r="B49" s="22" t="s">
        <v>171</v>
      </c>
      <c r="C49" s="9" t="s">
        <v>97</v>
      </c>
      <c r="D49" s="14" t="s">
        <v>126</v>
      </c>
      <c r="E49" s="22" t="s">
        <v>166</v>
      </c>
      <c r="F49" s="8">
        <v>10</v>
      </c>
      <c r="G49" s="14">
        <f t="shared" si="7"/>
        <v>118.867924528302</v>
      </c>
      <c r="H49" s="16">
        <v>0.06</v>
      </c>
      <c r="I49" s="17">
        <v>126</v>
      </c>
      <c r="J49" s="9"/>
      <c r="K49" s="18">
        <f t="shared" si="1"/>
        <v>0</v>
      </c>
      <c r="L49" s="18">
        <f t="shared" si="2"/>
        <v>0</v>
      </c>
      <c r="M49" s="17">
        <f t="shared" si="3"/>
        <v>0</v>
      </c>
      <c r="N49" s="19">
        <f t="shared" si="4"/>
        <v>0</v>
      </c>
    </row>
    <row r="50" ht="14.25" customHeight="1" spans="1:14">
      <c r="A50" s="13"/>
      <c r="B50" s="22" t="s">
        <v>172</v>
      </c>
      <c r="C50" s="9" t="s">
        <v>97</v>
      </c>
      <c r="D50" s="14" t="s">
        <v>136</v>
      </c>
      <c r="E50" s="22" t="s">
        <v>166</v>
      </c>
      <c r="F50" s="8">
        <v>12.6</v>
      </c>
      <c r="G50" s="14">
        <f t="shared" si="7"/>
        <v>126.415094339623</v>
      </c>
      <c r="H50" s="16">
        <v>0.06</v>
      </c>
      <c r="I50" s="17">
        <v>134</v>
      </c>
      <c r="J50" s="9"/>
      <c r="K50" s="18">
        <f t="shared" si="1"/>
        <v>0</v>
      </c>
      <c r="L50" s="18">
        <f t="shared" si="2"/>
        <v>0</v>
      </c>
      <c r="M50" s="17">
        <f t="shared" si="3"/>
        <v>0</v>
      </c>
      <c r="N50" s="19">
        <f t="shared" si="4"/>
        <v>0</v>
      </c>
    </row>
    <row r="51" ht="14.25" customHeight="1" spans="1:14">
      <c r="A51" s="13"/>
      <c r="B51" s="22" t="s">
        <v>173</v>
      </c>
      <c r="C51" s="9" t="s">
        <v>97</v>
      </c>
      <c r="D51" s="14" t="s">
        <v>126</v>
      </c>
      <c r="E51" s="22" t="s">
        <v>129</v>
      </c>
      <c r="F51" s="8">
        <v>11</v>
      </c>
      <c r="G51" s="14">
        <f t="shared" ref="G51:G60" si="8">I51-1</f>
        <v>114</v>
      </c>
      <c r="H51" s="16">
        <v>0.06</v>
      </c>
      <c r="I51" s="17">
        <v>115</v>
      </c>
      <c r="J51" s="9"/>
      <c r="K51" s="18">
        <f t="shared" si="1"/>
        <v>0</v>
      </c>
      <c r="L51" s="18">
        <f t="shared" si="2"/>
        <v>0</v>
      </c>
      <c r="M51" s="17">
        <f t="shared" si="3"/>
        <v>0</v>
      </c>
      <c r="N51" s="19">
        <f t="shared" si="4"/>
        <v>0</v>
      </c>
    </row>
    <row r="52" ht="14.25" customHeight="1" spans="1:14">
      <c r="A52" s="13"/>
      <c r="B52" s="22" t="s">
        <v>174</v>
      </c>
      <c r="C52" s="9" t="s">
        <v>97</v>
      </c>
      <c r="D52" s="14" t="s">
        <v>126</v>
      </c>
      <c r="E52" s="22"/>
      <c r="F52" s="8">
        <v>9.6</v>
      </c>
      <c r="G52" s="14">
        <f t="shared" si="8"/>
        <v>110</v>
      </c>
      <c r="H52" s="16">
        <v>0.06</v>
      </c>
      <c r="I52" s="17">
        <v>111</v>
      </c>
      <c r="J52" s="9"/>
      <c r="K52" s="18">
        <f t="shared" si="1"/>
        <v>0</v>
      </c>
      <c r="L52" s="18">
        <f t="shared" si="2"/>
        <v>0</v>
      </c>
      <c r="M52" s="17">
        <f t="shared" si="3"/>
        <v>0</v>
      </c>
      <c r="N52" s="19">
        <f t="shared" si="4"/>
        <v>0</v>
      </c>
    </row>
    <row r="53" ht="14.25" customHeight="1" spans="1:14">
      <c r="A53" s="13"/>
      <c r="B53" s="21" t="s">
        <v>175</v>
      </c>
      <c r="C53" s="9" t="s">
        <v>97</v>
      </c>
      <c r="D53" s="14" t="s">
        <v>126</v>
      </c>
      <c r="E53" s="21"/>
      <c r="F53" s="8">
        <v>10.62</v>
      </c>
      <c r="G53" s="14">
        <f t="shared" si="8"/>
        <v>131</v>
      </c>
      <c r="H53" s="16">
        <v>0.06</v>
      </c>
      <c r="I53" s="17">
        <v>132</v>
      </c>
      <c r="J53" s="9"/>
      <c r="K53" s="18">
        <f t="shared" si="1"/>
        <v>0</v>
      </c>
      <c r="L53" s="18">
        <f t="shared" si="2"/>
        <v>0</v>
      </c>
      <c r="M53" s="17">
        <f t="shared" si="3"/>
        <v>0</v>
      </c>
      <c r="N53" s="19">
        <f t="shared" si="4"/>
        <v>0</v>
      </c>
    </row>
    <row r="54" ht="14.25" customHeight="1" spans="1:14">
      <c r="A54" s="13"/>
      <c r="B54" s="21" t="s">
        <v>176</v>
      </c>
      <c r="C54" s="9" t="s">
        <v>97</v>
      </c>
      <c r="D54" s="14" t="s">
        <v>126</v>
      </c>
      <c r="E54" s="21"/>
      <c r="F54" s="8">
        <v>8.83</v>
      </c>
      <c r="G54" s="14">
        <f t="shared" si="8"/>
        <v>99</v>
      </c>
      <c r="H54" s="16">
        <v>0.06</v>
      </c>
      <c r="I54" s="17">
        <v>100</v>
      </c>
      <c r="J54" s="9"/>
      <c r="K54" s="18">
        <f t="shared" si="1"/>
        <v>0</v>
      </c>
      <c r="L54" s="18">
        <f t="shared" si="2"/>
        <v>0</v>
      </c>
      <c r="M54" s="17">
        <f t="shared" si="3"/>
        <v>0</v>
      </c>
      <c r="N54" s="19">
        <f t="shared" si="4"/>
        <v>0</v>
      </c>
    </row>
    <row r="55" s="2" customFormat="1" ht="14.25" customHeight="1" spans="1:14">
      <c r="A55" s="13"/>
      <c r="B55" s="21" t="s">
        <v>177</v>
      </c>
      <c r="C55" s="9" t="s">
        <v>97</v>
      </c>
      <c r="D55" s="14" t="s">
        <v>126</v>
      </c>
      <c r="E55" s="21"/>
      <c r="F55" s="8">
        <v>13.5</v>
      </c>
      <c r="G55" s="14">
        <f t="shared" si="8"/>
        <v>128</v>
      </c>
      <c r="H55" s="16">
        <v>0.06</v>
      </c>
      <c r="I55" s="17">
        <v>129</v>
      </c>
      <c r="J55" s="9"/>
      <c r="K55" s="18">
        <f t="shared" si="1"/>
        <v>0</v>
      </c>
      <c r="L55" s="18">
        <f t="shared" si="2"/>
        <v>0</v>
      </c>
      <c r="M55" s="17">
        <f t="shared" si="3"/>
        <v>0</v>
      </c>
      <c r="N55" s="19">
        <f t="shared" si="4"/>
        <v>0</v>
      </c>
    </row>
    <row r="56" s="2" customFormat="1" ht="14.25" customHeight="1" spans="1:14">
      <c r="A56" s="13"/>
      <c r="B56" s="21" t="s">
        <v>178</v>
      </c>
      <c r="C56" s="9" t="s">
        <v>97</v>
      </c>
      <c r="D56" s="14" t="s">
        <v>126</v>
      </c>
      <c r="E56" s="21"/>
      <c r="F56" s="8">
        <v>13.5</v>
      </c>
      <c r="G56" s="14">
        <f t="shared" si="8"/>
        <v>100</v>
      </c>
      <c r="H56" s="16">
        <v>0.06</v>
      </c>
      <c r="I56" s="17">
        <v>101</v>
      </c>
      <c r="J56" s="9"/>
      <c r="K56" s="18">
        <f t="shared" si="1"/>
        <v>0</v>
      </c>
      <c r="L56" s="18">
        <f t="shared" si="2"/>
        <v>0</v>
      </c>
      <c r="M56" s="17">
        <f t="shared" si="3"/>
        <v>0</v>
      </c>
      <c r="N56" s="19">
        <f t="shared" si="4"/>
        <v>0</v>
      </c>
    </row>
    <row r="57" s="2" customFormat="1" ht="14.25" customHeight="1" spans="1:14">
      <c r="A57" s="13"/>
      <c r="B57" s="21" t="s">
        <v>179</v>
      </c>
      <c r="C57" s="9" t="s">
        <v>97</v>
      </c>
      <c r="D57" s="14" t="s">
        <v>126</v>
      </c>
      <c r="E57" s="21"/>
      <c r="F57" s="8">
        <v>17.2</v>
      </c>
      <c r="G57" s="14">
        <f t="shared" si="8"/>
        <v>130</v>
      </c>
      <c r="H57" s="16">
        <v>0.06</v>
      </c>
      <c r="I57" s="17">
        <v>131</v>
      </c>
      <c r="J57" s="9"/>
      <c r="K57" s="18">
        <f t="shared" si="1"/>
        <v>0</v>
      </c>
      <c r="L57" s="18">
        <f t="shared" si="2"/>
        <v>0</v>
      </c>
      <c r="M57" s="17">
        <f t="shared" si="3"/>
        <v>0</v>
      </c>
      <c r="N57" s="19">
        <f t="shared" si="4"/>
        <v>0</v>
      </c>
    </row>
    <row r="58" s="2" customFormat="1" ht="14.25" customHeight="1" spans="1:14">
      <c r="A58" s="13"/>
      <c r="B58" s="21" t="s">
        <v>180</v>
      </c>
      <c r="C58" s="9" t="s">
        <v>97</v>
      </c>
      <c r="D58" s="14" t="s">
        <v>126</v>
      </c>
      <c r="E58" s="21"/>
      <c r="F58" s="8">
        <v>10.6</v>
      </c>
      <c r="G58" s="14">
        <f t="shared" si="8"/>
        <v>144</v>
      </c>
      <c r="H58" s="16">
        <v>0.06</v>
      </c>
      <c r="I58" s="17">
        <v>145</v>
      </c>
      <c r="J58" s="9"/>
      <c r="K58" s="18">
        <f t="shared" si="1"/>
        <v>0</v>
      </c>
      <c r="L58" s="18">
        <f t="shared" si="2"/>
        <v>0</v>
      </c>
      <c r="M58" s="17">
        <f t="shared" si="3"/>
        <v>0</v>
      </c>
      <c r="N58" s="19">
        <f t="shared" si="4"/>
        <v>0</v>
      </c>
    </row>
    <row r="59" s="2" customFormat="1" ht="14.25" customHeight="1" spans="1:14">
      <c r="A59" s="13"/>
      <c r="B59" s="21" t="s">
        <v>181</v>
      </c>
      <c r="C59" s="9" t="s">
        <v>97</v>
      </c>
      <c r="D59" s="14" t="s">
        <v>118</v>
      </c>
      <c r="E59" s="21"/>
      <c r="F59" s="8">
        <v>6.25</v>
      </c>
      <c r="G59" s="14">
        <f t="shared" si="8"/>
        <v>84</v>
      </c>
      <c r="H59" s="16">
        <v>0.06</v>
      </c>
      <c r="I59" s="17">
        <v>85</v>
      </c>
      <c r="J59" s="9"/>
      <c r="K59" s="18">
        <f t="shared" si="1"/>
        <v>0</v>
      </c>
      <c r="L59" s="18">
        <f t="shared" si="2"/>
        <v>0</v>
      </c>
      <c r="M59" s="17">
        <f t="shared" si="3"/>
        <v>0</v>
      </c>
      <c r="N59" s="19">
        <f t="shared" si="4"/>
        <v>0</v>
      </c>
    </row>
    <row r="60" s="2" customFormat="1" ht="14.25" customHeight="1" spans="1:14">
      <c r="A60" s="13"/>
      <c r="B60" s="21" t="s">
        <v>182</v>
      </c>
      <c r="C60" s="9" t="s">
        <v>183</v>
      </c>
      <c r="D60" s="14" t="s">
        <v>118</v>
      </c>
      <c r="E60" s="21"/>
      <c r="F60" s="8">
        <v>7.5</v>
      </c>
      <c r="G60" s="14">
        <f t="shared" si="8"/>
        <v>141.58</v>
      </c>
      <c r="H60" s="16">
        <v>0.06</v>
      </c>
      <c r="I60" s="17">
        <v>142.58</v>
      </c>
      <c r="J60" s="9"/>
      <c r="K60" s="18">
        <f t="shared" si="1"/>
        <v>0</v>
      </c>
      <c r="L60" s="18">
        <f t="shared" si="2"/>
        <v>0</v>
      </c>
      <c r="M60" s="17">
        <f t="shared" si="3"/>
        <v>0</v>
      </c>
      <c r="N60" s="19">
        <f t="shared" si="4"/>
        <v>0</v>
      </c>
    </row>
    <row r="61" ht="14.25" customHeight="1" spans="1:14">
      <c r="A61" s="13"/>
      <c r="B61" s="21" t="s">
        <v>184</v>
      </c>
      <c r="C61" s="9" t="s">
        <v>102</v>
      </c>
      <c r="D61" s="14" t="s">
        <v>136</v>
      </c>
      <c r="E61" s="21" t="s">
        <v>127</v>
      </c>
      <c r="F61" s="8">
        <v>9</v>
      </c>
      <c r="G61" s="14">
        <f>I61/(1+H61)</f>
        <v>81.7256637168142</v>
      </c>
      <c r="H61" s="16">
        <v>0.13</v>
      </c>
      <c r="I61" s="17">
        <v>92.35</v>
      </c>
      <c r="J61" s="9"/>
      <c r="K61" s="18">
        <f t="shared" si="1"/>
        <v>0</v>
      </c>
      <c r="L61" s="18">
        <f t="shared" si="2"/>
        <v>0</v>
      </c>
      <c r="M61" s="17">
        <f t="shared" si="3"/>
        <v>0</v>
      </c>
      <c r="N61" s="19">
        <f t="shared" si="4"/>
        <v>0</v>
      </c>
    </row>
    <row r="62" ht="14.25" customHeight="1" spans="1:14">
      <c r="A62" s="13"/>
      <c r="B62" s="21" t="s">
        <v>185</v>
      </c>
      <c r="C62" s="9" t="s">
        <v>102</v>
      </c>
      <c r="D62" s="14" t="s">
        <v>136</v>
      </c>
      <c r="E62" s="21" t="s">
        <v>166</v>
      </c>
      <c r="F62" s="8">
        <v>8</v>
      </c>
      <c r="G62" s="14">
        <f>I62/(1+H62)</f>
        <v>77.2566371681416</v>
      </c>
      <c r="H62" s="16">
        <v>0.13</v>
      </c>
      <c r="I62" s="17">
        <v>87.3</v>
      </c>
      <c r="J62" s="9"/>
      <c r="K62" s="18">
        <f t="shared" si="1"/>
        <v>0</v>
      </c>
      <c r="L62" s="18">
        <f t="shared" si="2"/>
        <v>0</v>
      </c>
      <c r="M62" s="17">
        <f t="shared" si="3"/>
        <v>0</v>
      </c>
      <c r="N62" s="19">
        <f t="shared" si="4"/>
        <v>0</v>
      </c>
    </row>
    <row r="63" ht="14.25" customHeight="1" spans="1:14">
      <c r="A63" s="13"/>
      <c r="B63" s="23" t="s">
        <v>186</v>
      </c>
      <c r="C63" s="9" t="s">
        <v>102</v>
      </c>
      <c r="D63" s="14" t="s">
        <v>136</v>
      </c>
      <c r="E63" s="21" t="s">
        <v>166</v>
      </c>
      <c r="F63" s="8">
        <v>8</v>
      </c>
      <c r="G63" s="14">
        <f>I63/(1+H63)</f>
        <v>69.3362831858407</v>
      </c>
      <c r="H63" s="16">
        <v>0.13</v>
      </c>
      <c r="I63" s="17">
        <v>78.35</v>
      </c>
      <c r="J63" s="9"/>
      <c r="K63" s="18">
        <f t="shared" si="1"/>
        <v>0</v>
      </c>
      <c r="L63" s="18">
        <f t="shared" si="2"/>
        <v>0</v>
      </c>
      <c r="M63" s="17">
        <f t="shared" si="3"/>
        <v>0</v>
      </c>
      <c r="N63" s="19">
        <f t="shared" si="4"/>
        <v>0</v>
      </c>
    </row>
    <row r="64" ht="14.25" customHeight="1" spans="1:14">
      <c r="A64" s="13"/>
      <c r="B64" s="21" t="s">
        <v>187</v>
      </c>
      <c r="C64" s="9" t="s">
        <v>102</v>
      </c>
      <c r="D64" s="14" t="s">
        <v>136</v>
      </c>
      <c r="E64" s="21" t="s">
        <v>166</v>
      </c>
      <c r="F64" s="8">
        <v>8.4</v>
      </c>
      <c r="G64" s="14">
        <v>94.09</v>
      </c>
      <c r="H64" s="16">
        <v>0.13</v>
      </c>
      <c r="I64" s="24">
        <f>G64+1</f>
        <v>95.09</v>
      </c>
      <c r="J64" s="25"/>
      <c r="K64" s="18">
        <f t="shared" si="1"/>
        <v>0</v>
      </c>
      <c r="L64" s="18">
        <f t="shared" si="2"/>
        <v>0</v>
      </c>
      <c r="M64" s="17">
        <f t="shared" si="3"/>
        <v>0</v>
      </c>
      <c r="N64" s="19">
        <f t="shared" si="4"/>
        <v>0</v>
      </c>
    </row>
    <row r="65" spans="1:15">
      <c r="A65" s="13"/>
      <c r="B65" s="13"/>
      <c r="C65" s="13"/>
      <c r="D65" s="13"/>
      <c r="E65" s="13"/>
      <c r="F65" s="8"/>
      <c r="G65" s="14"/>
      <c r="H65" s="16"/>
      <c r="I65" s="24" t="s">
        <v>188</v>
      </c>
      <c r="J65" s="25"/>
      <c r="K65" s="25"/>
      <c r="L65" s="18">
        <f t="shared" si="2"/>
        <v>0</v>
      </c>
      <c r="M65" s="25"/>
      <c r="N65" s="25"/>
    </row>
    <row r="66" spans="1:15">
      <c r="A66" s="13"/>
      <c r="B66" s="11" t="s">
        <v>189</v>
      </c>
      <c r="C66" s="11"/>
      <c r="D66" s="11"/>
      <c r="E66" s="11"/>
      <c r="F66" s="12"/>
      <c r="G66" s="14"/>
      <c r="H66" s="16"/>
      <c r="I66" s="16"/>
      <c r="J66" s="16"/>
      <c r="K66" s="16"/>
      <c r="L66" s="18">
        <f t="shared" si="2"/>
        <v>0</v>
      </c>
      <c r="M66" s="16"/>
      <c r="N66" s="16"/>
    </row>
    <row r="67" spans="1:15">
      <c r="A67" s="13"/>
      <c r="B67" s="26" t="s">
        <v>190</v>
      </c>
      <c r="C67" s="8" t="s">
        <v>95</v>
      </c>
      <c r="D67" s="14" t="s">
        <v>191</v>
      </c>
      <c r="E67" s="27" t="s">
        <v>192</v>
      </c>
      <c r="F67" s="8">
        <v>8.5</v>
      </c>
      <c r="G67" s="14">
        <f>9823.01/60</f>
        <v>163.716833333333</v>
      </c>
      <c r="H67" s="16">
        <v>0.13</v>
      </c>
      <c r="I67" s="17">
        <f>G67*(1+H67)</f>
        <v>185.000021666667</v>
      </c>
      <c r="J67" s="9"/>
      <c r="K67" s="18">
        <f t="shared" ref="K67:K73" si="9">J67*F67</f>
        <v>0</v>
      </c>
      <c r="L67" s="18">
        <f t="shared" si="2"/>
        <v>0</v>
      </c>
      <c r="M67" s="17">
        <f t="shared" ref="M67:M73" si="10">J67*I67</f>
        <v>0</v>
      </c>
      <c r="N67" s="19">
        <f t="shared" ref="N67:N73" si="11">M67+J67</f>
        <v>0</v>
      </c>
    </row>
    <row r="68" spans="1:15">
      <c r="A68" s="13"/>
      <c r="B68" s="28" t="s">
        <v>193</v>
      </c>
      <c r="C68" s="8" t="s">
        <v>95</v>
      </c>
      <c r="D68" s="14" t="s">
        <v>191</v>
      </c>
      <c r="E68" s="27">
        <v>1000</v>
      </c>
      <c r="F68" s="8">
        <v>18.2</v>
      </c>
      <c r="G68" s="14">
        <f>I68/(1+H68)</f>
        <v>336.283185840708</v>
      </c>
      <c r="H68" s="16">
        <v>0.13</v>
      </c>
      <c r="I68" s="17">
        <v>380</v>
      </c>
      <c r="J68" s="9"/>
      <c r="K68" s="18">
        <f t="shared" si="9"/>
        <v>0</v>
      </c>
      <c r="L68" s="18">
        <f t="shared" si="2"/>
        <v>0</v>
      </c>
      <c r="M68" s="17">
        <f t="shared" si="10"/>
        <v>0</v>
      </c>
      <c r="N68" s="19">
        <f t="shared" si="11"/>
        <v>0</v>
      </c>
    </row>
    <row r="69" spans="1:15">
      <c r="A69" s="13"/>
      <c r="B69" s="28" t="s">
        <v>194</v>
      </c>
      <c r="C69" s="8" t="s">
        <v>95</v>
      </c>
      <c r="D69" s="14" t="s">
        <v>191</v>
      </c>
      <c r="E69" s="27" t="s">
        <v>195</v>
      </c>
      <c r="F69" s="8">
        <v>9.25</v>
      </c>
      <c r="G69" s="14">
        <f>I69/(1+H69)</f>
        <v>141.592920353982</v>
      </c>
      <c r="H69" s="16">
        <v>0.13</v>
      </c>
      <c r="I69" s="14">
        <v>160</v>
      </c>
      <c r="J69" s="9"/>
      <c r="K69" s="18">
        <f t="shared" si="9"/>
        <v>0</v>
      </c>
      <c r="L69" s="18">
        <f t="shared" si="2"/>
        <v>0</v>
      </c>
      <c r="M69" s="17">
        <f t="shared" si="10"/>
        <v>0</v>
      </c>
      <c r="N69" s="19">
        <f t="shared" si="11"/>
        <v>0</v>
      </c>
      <c r="O69" s="14"/>
    </row>
    <row r="70" spans="1:15">
      <c r="A70" s="13"/>
      <c r="B70" s="28" t="s">
        <v>196</v>
      </c>
      <c r="C70" s="8" t="s">
        <v>95</v>
      </c>
      <c r="D70" s="14" t="s">
        <v>191</v>
      </c>
      <c r="E70" s="27"/>
      <c r="F70" s="8">
        <v>13.5</v>
      </c>
      <c r="G70" s="14">
        <f>I70/(1+H70)</f>
        <v>176.991150442478</v>
      </c>
      <c r="H70" s="16">
        <v>0.13</v>
      </c>
      <c r="I70" s="14">
        <v>200</v>
      </c>
      <c r="J70" s="9"/>
      <c r="K70" s="18">
        <f t="shared" si="9"/>
        <v>0</v>
      </c>
      <c r="L70" s="18">
        <f>K70+J70/2</f>
        <v>0</v>
      </c>
      <c r="M70" s="17">
        <f t="shared" si="10"/>
        <v>0</v>
      </c>
      <c r="N70" s="19">
        <f t="shared" si="11"/>
        <v>0</v>
      </c>
      <c r="O70" s="14"/>
    </row>
    <row r="71" spans="1:15">
      <c r="A71" s="13"/>
      <c r="B71" s="28" t="s">
        <v>197</v>
      </c>
      <c r="C71" s="8" t="s">
        <v>95</v>
      </c>
      <c r="D71" s="14" t="s">
        <v>191</v>
      </c>
      <c r="E71" s="27"/>
      <c r="F71" s="8">
        <v>12.15</v>
      </c>
      <c r="G71" s="14">
        <f>I71/(1+H71)</f>
        <v>233.628318584071</v>
      </c>
      <c r="H71" s="16">
        <v>0.13</v>
      </c>
      <c r="I71" s="14">
        <v>264</v>
      </c>
      <c r="J71" s="9"/>
      <c r="K71" s="18">
        <f t="shared" si="9"/>
        <v>0</v>
      </c>
      <c r="L71" s="18">
        <f>J71*12.95</f>
        <v>0</v>
      </c>
      <c r="M71" s="17">
        <f t="shared" si="10"/>
        <v>0</v>
      </c>
      <c r="N71" s="19">
        <f t="shared" si="11"/>
        <v>0</v>
      </c>
      <c r="O71" s="14"/>
    </row>
    <row r="72" spans="1:15">
      <c r="A72" s="13"/>
      <c r="B72" s="28" t="s">
        <v>198</v>
      </c>
      <c r="C72" s="8" t="s">
        <v>95</v>
      </c>
      <c r="D72" s="14" t="s">
        <v>191</v>
      </c>
      <c r="E72" s="27"/>
      <c r="F72" s="8">
        <v>13.5</v>
      </c>
      <c r="G72" s="14">
        <f>I72/(1+H72)</f>
        <v>176.106194690266</v>
      </c>
      <c r="H72" s="16">
        <v>0.13</v>
      </c>
      <c r="I72" s="14">
        <v>199</v>
      </c>
      <c r="J72" s="9"/>
      <c r="K72" s="18">
        <f t="shared" si="9"/>
        <v>0</v>
      </c>
      <c r="L72" s="18">
        <f>J72*14.15</f>
        <v>0</v>
      </c>
      <c r="M72" s="17">
        <f t="shared" si="10"/>
        <v>0</v>
      </c>
      <c r="N72" s="19">
        <f t="shared" si="11"/>
        <v>0</v>
      </c>
      <c r="O72" s="14"/>
    </row>
    <row r="73" spans="1:15">
      <c r="A73" s="13"/>
      <c r="B73" s="11" t="s">
        <v>199</v>
      </c>
      <c r="C73" s="11"/>
      <c r="D73" s="11"/>
      <c r="E73" s="29"/>
      <c r="F73" s="12"/>
      <c r="G73" s="14"/>
      <c r="H73" s="16"/>
      <c r="L73" s="18">
        <f>K73+J73/2</f>
        <v>0</v>
      </c>
      <c r="M73" s="2"/>
    </row>
    <row r="74" spans="1:15">
      <c r="A74" s="13"/>
      <c r="B74" s="26" t="s">
        <v>200</v>
      </c>
      <c r="C74" s="8" t="s">
        <v>95</v>
      </c>
      <c r="D74" s="14" t="s">
        <v>201</v>
      </c>
      <c r="E74" s="27" t="s">
        <v>192</v>
      </c>
      <c r="F74" s="8">
        <v>2.4</v>
      </c>
      <c r="G74" s="14">
        <f>5575.22/60</f>
        <v>92.9203333333333</v>
      </c>
      <c r="H74" s="16">
        <v>0.13</v>
      </c>
      <c r="I74" s="17">
        <f>G74*(1+H74)</f>
        <v>104.999976666667</v>
      </c>
      <c r="J74" s="9"/>
      <c r="K74" s="18">
        <f t="shared" ref="K74:K80" si="12">J74*F74</f>
        <v>0</v>
      </c>
      <c r="L74" s="18">
        <f>K74+J74/2</f>
        <v>0</v>
      </c>
      <c r="M74" s="17">
        <f t="shared" ref="M74:M80" si="13">J74*I74</f>
        <v>0</v>
      </c>
      <c r="N74" s="19">
        <f t="shared" ref="N74:N80" si="14">M74+J74</f>
        <v>0</v>
      </c>
    </row>
    <row r="75" spans="1:15">
      <c r="A75" s="13"/>
      <c r="B75" s="28" t="s">
        <v>202</v>
      </c>
      <c r="C75" s="8" t="s">
        <v>95</v>
      </c>
      <c r="D75" s="14" t="s">
        <v>201</v>
      </c>
      <c r="E75" s="27">
        <v>1000</v>
      </c>
      <c r="F75" s="8">
        <v>7</v>
      </c>
      <c r="G75" s="14">
        <f>I75/(1+H75)</f>
        <v>230.088495575221</v>
      </c>
      <c r="H75" s="16">
        <v>0.13</v>
      </c>
      <c r="I75" s="17">
        <v>260</v>
      </c>
      <c r="J75" s="9"/>
      <c r="K75" s="18">
        <f t="shared" si="12"/>
        <v>0</v>
      </c>
      <c r="L75" s="18">
        <f>K75+J75/2</f>
        <v>0</v>
      </c>
      <c r="M75" s="17">
        <f t="shared" si="13"/>
        <v>0</v>
      </c>
      <c r="N75" s="19">
        <f t="shared" si="14"/>
        <v>0</v>
      </c>
    </row>
    <row r="76" spans="1:15">
      <c r="A76" s="13"/>
      <c r="B76" s="26" t="s">
        <v>203</v>
      </c>
      <c r="C76" s="8" t="s">
        <v>95</v>
      </c>
      <c r="D76" s="14" t="s">
        <v>201</v>
      </c>
      <c r="E76" s="27" t="s">
        <v>195</v>
      </c>
      <c r="F76" s="8">
        <v>9.25</v>
      </c>
      <c r="G76" s="14">
        <f>I76/(1+H76)</f>
        <v>141.592920353982</v>
      </c>
      <c r="H76" s="16">
        <v>0.13</v>
      </c>
      <c r="I76" s="17">
        <v>160</v>
      </c>
      <c r="J76" s="9"/>
      <c r="K76" s="18">
        <f t="shared" si="12"/>
        <v>0</v>
      </c>
      <c r="L76" s="18">
        <f t="shared" ref="L76:L78" si="15">K76+J76/2</f>
        <v>0</v>
      </c>
      <c r="M76" s="17">
        <f t="shared" si="13"/>
        <v>0</v>
      </c>
      <c r="N76" s="19">
        <f t="shared" si="14"/>
        <v>0</v>
      </c>
    </row>
    <row r="77" spans="1:15">
      <c r="A77" s="13"/>
      <c r="B77" s="28" t="s">
        <v>204</v>
      </c>
      <c r="C77" s="8" t="s">
        <v>95</v>
      </c>
      <c r="D77" s="14" t="s">
        <v>201</v>
      </c>
      <c r="E77" s="27"/>
      <c r="F77" s="8">
        <v>5.2</v>
      </c>
      <c r="G77" s="14">
        <f>I77/(1+H77)</f>
        <v>141.592920353982</v>
      </c>
      <c r="H77" s="16">
        <v>0.13</v>
      </c>
      <c r="I77" s="17">
        <v>160</v>
      </c>
      <c r="J77" s="9"/>
      <c r="K77" s="18">
        <f t="shared" si="12"/>
        <v>0</v>
      </c>
      <c r="L77" s="18">
        <f t="shared" si="15"/>
        <v>0</v>
      </c>
      <c r="M77" s="17">
        <f t="shared" si="13"/>
        <v>0</v>
      </c>
      <c r="N77" s="19">
        <f t="shared" si="14"/>
        <v>0</v>
      </c>
    </row>
    <row r="78" spans="1:15">
      <c r="A78" s="13"/>
      <c r="B78" s="28" t="s">
        <v>205</v>
      </c>
      <c r="C78" s="8" t="s">
        <v>95</v>
      </c>
      <c r="D78" s="14" t="s">
        <v>201</v>
      </c>
      <c r="E78" s="27"/>
      <c r="F78" s="8">
        <v>8.55</v>
      </c>
      <c r="G78" s="14">
        <f>I78/(1+H78)</f>
        <v>224.778761061947</v>
      </c>
      <c r="H78" s="16">
        <v>0.13</v>
      </c>
      <c r="I78" s="17">
        <v>254</v>
      </c>
      <c r="J78" s="9"/>
      <c r="K78" s="18">
        <f t="shared" si="12"/>
        <v>0</v>
      </c>
      <c r="L78" s="18">
        <f>J78*9.7</f>
        <v>0</v>
      </c>
      <c r="M78" s="17">
        <f t="shared" si="13"/>
        <v>0</v>
      </c>
      <c r="N78" s="19">
        <f t="shared" si="14"/>
        <v>0</v>
      </c>
    </row>
    <row r="79" spans="1:15">
      <c r="A79" s="13"/>
      <c r="B79" s="28" t="s">
        <v>206</v>
      </c>
      <c r="C79" s="8" t="s">
        <v>95</v>
      </c>
      <c r="D79" s="14" t="s">
        <v>201</v>
      </c>
      <c r="E79" s="27"/>
      <c r="F79" s="8">
        <v>10.2</v>
      </c>
      <c r="G79" s="14">
        <f>I79/(1+H79)</f>
        <v>156.637168141593</v>
      </c>
      <c r="H79" s="16">
        <v>0.13</v>
      </c>
      <c r="I79" s="17">
        <v>177</v>
      </c>
      <c r="J79" s="9"/>
      <c r="K79" s="18">
        <f t="shared" si="12"/>
        <v>0</v>
      </c>
      <c r="L79" s="18">
        <f>J79*11.8</f>
        <v>0</v>
      </c>
      <c r="M79" s="17">
        <f t="shared" si="13"/>
        <v>0</v>
      </c>
      <c r="N79" s="19">
        <f t="shared" si="14"/>
        <v>0</v>
      </c>
    </row>
    <row r="80" spans="1:15">
      <c r="A80" s="13"/>
      <c r="B80" s="11" t="s">
        <v>116</v>
      </c>
      <c r="C80" s="11"/>
      <c r="D80" s="11"/>
      <c r="E80" s="29"/>
      <c r="F80" s="12"/>
      <c r="G80" s="14"/>
      <c r="H80" s="16"/>
      <c r="I80" s="17"/>
      <c r="J80" s="9"/>
      <c r="K80" s="18"/>
      <c r="L80" s="18">
        <f t="shared" ref="L80:L93" si="16">K80+J80/2</f>
        <v>0</v>
      </c>
      <c r="M80" s="17"/>
      <c r="N80" s="19">
        <f t="shared" ref="N80:N103" si="17">M80+J80</f>
        <v>0</v>
      </c>
    </row>
    <row r="81" s="2" customFormat="1" spans="1:14">
      <c r="A81" s="13"/>
      <c r="B81" s="20" t="s">
        <v>207</v>
      </c>
      <c r="C81" s="9" t="s">
        <v>91</v>
      </c>
      <c r="D81" s="14" t="s">
        <v>136</v>
      </c>
      <c r="E81" s="15" t="s">
        <v>208</v>
      </c>
      <c r="F81" s="8">
        <v>6.3</v>
      </c>
      <c r="G81" s="14">
        <v>68</v>
      </c>
      <c r="H81" s="16">
        <v>0.08</v>
      </c>
      <c r="I81" s="17">
        <f t="shared" ref="I81:I88" si="18">G81*(1+H81)</f>
        <v>73.44</v>
      </c>
      <c r="J81" s="9"/>
      <c r="K81" s="18">
        <f t="shared" ref="K81:K103" si="19">J81*F81</f>
        <v>0</v>
      </c>
      <c r="L81" s="18">
        <f t="shared" si="16"/>
        <v>0</v>
      </c>
      <c r="M81" s="17">
        <f t="shared" ref="M81:M103" si="20">J81*I81</f>
        <v>0</v>
      </c>
      <c r="N81" s="19">
        <f t="shared" si="17"/>
        <v>0</v>
      </c>
    </row>
    <row r="82" spans="1:14">
      <c r="A82" s="13"/>
      <c r="B82" s="20" t="s">
        <v>209</v>
      </c>
      <c r="C82" s="9" t="s">
        <v>91</v>
      </c>
      <c r="D82" s="14" t="s">
        <v>136</v>
      </c>
      <c r="E82" s="15" t="s">
        <v>208</v>
      </c>
      <c r="F82" s="8">
        <v>7.5</v>
      </c>
      <c r="G82" s="14">
        <v>74</v>
      </c>
      <c r="H82" s="16">
        <v>0.08</v>
      </c>
      <c r="I82" s="17">
        <f t="shared" si="18"/>
        <v>79.92</v>
      </c>
      <c r="J82" s="9"/>
      <c r="K82" s="18">
        <f t="shared" si="19"/>
        <v>0</v>
      </c>
      <c r="L82" s="18">
        <f t="shared" si="16"/>
        <v>0</v>
      </c>
      <c r="M82" s="17">
        <f t="shared" si="20"/>
        <v>0</v>
      </c>
      <c r="N82" s="19">
        <f t="shared" si="17"/>
        <v>0</v>
      </c>
    </row>
    <row r="83" spans="1:14">
      <c r="A83" s="13"/>
      <c r="B83" s="20" t="s">
        <v>210</v>
      </c>
      <c r="C83" s="9" t="s">
        <v>91</v>
      </c>
      <c r="D83" s="14" t="s">
        <v>136</v>
      </c>
      <c r="E83" s="15" t="s">
        <v>208</v>
      </c>
      <c r="F83" s="8">
        <v>7.5</v>
      </c>
      <c r="G83" s="14">
        <v>82</v>
      </c>
      <c r="H83" s="16">
        <v>0.08</v>
      </c>
      <c r="I83" s="17">
        <f t="shared" si="18"/>
        <v>88.56</v>
      </c>
      <c r="J83" s="9"/>
      <c r="K83" s="18">
        <f t="shared" si="19"/>
        <v>0</v>
      </c>
      <c r="L83" s="18">
        <f t="shared" si="16"/>
        <v>0</v>
      </c>
      <c r="M83" s="17">
        <f t="shared" si="20"/>
        <v>0</v>
      </c>
      <c r="N83" s="19">
        <f t="shared" si="17"/>
        <v>0</v>
      </c>
    </row>
    <row r="84" spans="1:14">
      <c r="A84" s="13"/>
      <c r="B84" s="13" t="s">
        <v>211</v>
      </c>
      <c r="C84" s="9" t="s">
        <v>91</v>
      </c>
      <c r="D84" s="14" t="s">
        <v>136</v>
      </c>
      <c r="E84" s="15" t="s">
        <v>208</v>
      </c>
      <c r="F84" s="8">
        <v>8.1</v>
      </c>
      <c r="G84" s="14">
        <v>90</v>
      </c>
      <c r="H84" s="16">
        <v>0.08</v>
      </c>
      <c r="I84" s="17">
        <f t="shared" si="18"/>
        <v>97.2</v>
      </c>
      <c r="J84" s="9"/>
      <c r="K84" s="18">
        <f t="shared" si="19"/>
        <v>0</v>
      </c>
      <c r="L84" s="18">
        <f t="shared" si="16"/>
        <v>0</v>
      </c>
      <c r="M84" s="17">
        <f t="shared" si="20"/>
        <v>0</v>
      </c>
      <c r="N84" s="19">
        <f t="shared" si="17"/>
        <v>0</v>
      </c>
    </row>
    <row r="85" spans="1:14">
      <c r="A85" s="13"/>
      <c r="B85" s="20" t="s">
        <v>212</v>
      </c>
      <c r="C85" s="9" t="s">
        <v>91</v>
      </c>
      <c r="D85" s="14" t="s">
        <v>136</v>
      </c>
      <c r="E85" s="15" t="s">
        <v>127</v>
      </c>
      <c r="F85" s="8">
        <v>5.5</v>
      </c>
      <c r="G85" s="14">
        <v>61</v>
      </c>
      <c r="H85" s="16">
        <v>0.08</v>
      </c>
      <c r="I85" s="17">
        <f t="shared" si="18"/>
        <v>65.88</v>
      </c>
      <c r="J85" s="9"/>
      <c r="K85" s="18">
        <f t="shared" si="19"/>
        <v>0</v>
      </c>
      <c r="L85" s="18">
        <f t="shared" si="16"/>
        <v>0</v>
      </c>
      <c r="M85" s="17">
        <f t="shared" si="20"/>
        <v>0</v>
      </c>
      <c r="N85" s="19">
        <f t="shared" si="17"/>
        <v>0</v>
      </c>
    </row>
    <row r="86" spans="1:14">
      <c r="A86" s="13"/>
      <c r="B86" s="13" t="s">
        <v>213</v>
      </c>
      <c r="C86" s="9" t="s">
        <v>91</v>
      </c>
      <c r="D86" s="14" t="s">
        <v>136</v>
      </c>
      <c r="E86" s="15" t="s">
        <v>127</v>
      </c>
      <c r="F86" s="8">
        <v>5.5</v>
      </c>
      <c r="G86" s="14">
        <v>59</v>
      </c>
      <c r="H86" s="16">
        <v>0.08</v>
      </c>
      <c r="I86" s="17">
        <f t="shared" si="18"/>
        <v>63.72</v>
      </c>
      <c r="J86" s="9"/>
      <c r="K86" s="18">
        <f t="shared" si="19"/>
        <v>0</v>
      </c>
      <c r="L86" s="18">
        <f t="shared" si="16"/>
        <v>0</v>
      </c>
      <c r="M86" s="17">
        <f t="shared" si="20"/>
        <v>0</v>
      </c>
      <c r="N86" s="19">
        <f t="shared" si="17"/>
        <v>0</v>
      </c>
    </row>
    <row r="87" spans="1:14">
      <c r="A87" s="13"/>
      <c r="B87" s="20" t="s">
        <v>214</v>
      </c>
      <c r="C87" s="9" t="s">
        <v>91</v>
      </c>
      <c r="D87" s="14" t="s">
        <v>136</v>
      </c>
      <c r="E87" s="15" t="s">
        <v>127</v>
      </c>
      <c r="F87" s="8">
        <v>5.5</v>
      </c>
      <c r="G87" s="14">
        <v>61</v>
      </c>
      <c r="H87" s="16">
        <v>0.08</v>
      </c>
      <c r="I87" s="17">
        <f t="shared" si="18"/>
        <v>65.88</v>
      </c>
      <c r="J87" s="9"/>
      <c r="K87" s="18">
        <f t="shared" si="19"/>
        <v>0</v>
      </c>
      <c r="L87" s="18">
        <f t="shared" si="16"/>
        <v>0</v>
      </c>
      <c r="M87" s="17">
        <f t="shared" si="20"/>
        <v>0</v>
      </c>
      <c r="N87" s="19">
        <f t="shared" si="17"/>
        <v>0</v>
      </c>
    </row>
    <row r="88" spans="1:14">
      <c r="A88" s="13"/>
      <c r="B88" s="20">
        <v>6828</v>
      </c>
      <c r="C88" s="9" t="s">
        <v>91</v>
      </c>
      <c r="D88" s="14" t="s">
        <v>136</v>
      </c>
      <c r="E88" s="15" t="s">
        <v>127</v>
      </c>
      <c r="F88" s="8">
        <v>5.5</v>
      </c>
      <c r="G88" s="14">
        <v>59</v>
      </c>
      <c r="H88" s="16">
        <v>0.08</v>
      </c>
      <c r="I88" s="17">
        <f t="shared" si="18"/>
        <v>63.72</v>
      </c>
      <c r="J88" s="9"/>
      <c r="K88" s="18">
        <f t="shared" si="19"/>
        <v>0</v>
      </c>
      <c r="L88" s="18">
        <f t="shared" si="16"/>
        <v>0</v>
      </c>
      <c r="M88" s="17">
        <f t="shared" si="20"/>
        <v>0</v>
      </c>
      <c r="N88" s="19">
        <f t="shared" si="17"/>
        <v>0</v>
      </c>
    </row>
    <row r="89" s="2" customFormat="1" spans="1:14">
      <c r="A89" s="13"/>
      <c r="B89" s="30" t="s">
        <v>215</v>
      </c>
      <c r="C89" s="30" t="s">
        <v>216</v>
      </c>
      <c r="D89" s="14" t="s">
        <v>136</v>
      </c>
      <c r="E89" s="31" t="s">
        <v>129</v>
      </c>
      <c r="F89" s="8">
        <v>8.4</v>
      </c>
      <c r="G89" s="14">
        <f t="shared" ref="G89:G93" si="21">I89-1</f>
        <v>89</v>
      </c>
      <c r="H89" s="16">
        <v>0.08</v>
      </c>
      <c r="I89" s="14">
        <v>90</v>
      </c>
      <c r="J89" s="9"/>
      <c r="K89" s="18">
        <f t="shared" si="19"/>
        <v>0</v>
      </c>
      <c r="L89" s="18">
        <f t="shared" si="16"/>
        <v>0</v>
      </c>
      <c r="M89" s="17">
        <f t="shared" si="20"/>
        <v>0</v>
      </c>
      <c r="N89" s="19">
        <f t="shared" si="17"/>
        <v>0</v>
      </c>
    </row>
    <row r="90" s="2" customFormat="1" spans="1:14">
      <c r="A90" s="13"/>
      <c r="B90" s="30" t="s">
        <v>217</v>
      </c>
      <c r="C90" s="30" t="s">
        <v>216</v>
      </c>
      <c r="D90" s="14" t="s">
        <v>136</v>
      </c>
      <c r="E90" s="31" t="s">
        <v>127</v>
      </c>
      <c r="F90" s="8">
        <v>6.3</v>
      </c>
      <c r="G90" s="14">
        <f t="shared" si="21"/>
        <v>69</v>
      </c>
      <c r="H90" s="16">
        <v>0.08</v>
      </c>
      <c r="I90" s="14">
        <v>70</v>
      </c>
      <c r="J90" s="9"/>
      <c r="K90" s="18">
        <f t="shared" si="19"/>
        <v>0</v>
      </c>
      <c r="L90" s="18">
        <f t="shared" si="16"/>
        <v>0</v>
      </c>
      <c r="M90" s="17">
        <f t="shared" si="20"/>
        <v>0</v>
      </c>
      <c r="N90" s="19">
        <f t="shared" si="17"/>
        <v>0</v>
      </c>
    </row>
    <row r="91" s="2" customFormat="1" spans="1:14">
      <c r="A91" s="13"/>
      <c r="B91" s="32" t="s">
        <v>218</v>
      </c>
      <c r="C91" s="30" t="s">
        <v>216</v>
      </c>
      <c r="D91" s="14" t="s">
        <v>136</v>
      </c>
      <c r="E91" s="31" t="s">
        <v>166</v>
      </c>
      <c r="F91" s="8">
        <v>8.4</v>
      </c>
      <c r="G91" s="14">
        <f t="shared" si="21"/>
        <v>91</v>
      </c>
      <c r="H91" s="16">
        <v>0.08</v>
      </c>
      <c r="I91" s="14">
        <v>92</v>
      </c>
      <c r="J91" s="9"/>
      <c r="K91" s="18">
        <f t="shared" si="19"/>
        <v>0</v>
      </c>
      <c r="L91" s="18">
        <f t="shared" si="16"/>
        <v>0</v>
      </c>
      <c r="M91" s="17">
        <f t="shared" si="20"/>
        <v>0</v>
      </c>
      <c r="N91" s="19">
        <f t="shared" si="17"/>
        <v>0</v>
      </c>
    </row>
    <row r="92" s="2" customFormat="1" spans="1:14">
      <c r="A92" s="13"/>
      <c r="B92" s="30" t="s">
        <v>219</v>
      </c>
      <c r="C92" s="30" t="s">
        <v>216</v>
      </c>
      <c r="D92" s="14" t="s">
        <v>136</v>
      </c>
      <c r="E92" s="31" t="s">
        <v>166</v>
      </c>
      <c r="F92" s="8">
        <v>10.4</v>
      </c>
      <c r="G92" s="14">
        <f t="shared" si="21"/>
        <v>76</v>
      </c>
      <c r="H92" s="16">
        <v>0.08</v>
      </c>
      <c r="I92" s="14">
        <v>77</v>
      </c>
      <c r="J92" s="9"/>
      <c r="K92" s="18">
        <f t="shared" si="19"/>
        <v>0</v>
      </c>
      <c r="L92" s="18">
        <f t="shared" si="16"/>
        <v>0</v>
      </c>
      <c r="M92" s="17">
        <f t="shared" si="20"/>
        <v>0</v>
      </c>
      <c r="N92" s="19">
        <f t="shared" si="17"/>
        <v>0</v>
      </c>
    </row>
    <row r="93" s="2" customFormat="1" spans="1:14">
      <c r="A93" s="13"/>
      <c r="B93" s="30" t="s">
        <v>220</v>
      </c>
      <c r="C93" s="30" t="s">
        <v>216</v>
      </c>
      <c r="D93" s="14" t="s">
        <v>136</v>
      </c>
      <c r="E93" s="31" t="s">
        <v>129</v>
      </c>
      <c r="F93" s="8">
        <v>11.4</v>
      </c>
      <c r="G93" s="14">
        <f t="shared" si="21"/>
        <v>89</v>
      </c>
      <c r="H93" s="16">
        <v>0.08</v>
      </c>
      <c r="I93" s="14">
        <v>90</v>
      </c>
      <c r="J93" s="9"/>
      <c r="K93" s="18">
        <f t="shared" si="19"/>
        <v>0</v>
      </c>
      <c r="L93" s="18">
        <f t="shared" si="16"/>
        <v>0</v>
      </c>
      <c r="M93" s="17">
        <f t="shared" si="20"/>
        <v>0</v>
      </c>
      <c r="N93" s="19">
        <f t="shared" si="17"/>
        <v>0</v>
      </c>
    </row>
    <row r="94" s="2" customFormat="1" spans="1:14">
      <c r="A94" s="13"/>
      <c r="B94" s="32" t="s">
        <v>221</v>
      </c>
      <c r="C94" s="30" t="s">
        <v>216</v>
      </c>
      <c r="D94" s="14" t="s">
        <v>136</v>
      </c>
      <c r="E94" s="31" t="s">
        <v>129</v>
      </c>
      <c r="F94" s="8">
        <v>10.2</v>
      </c>
      <c r="G94" s="14">
        <f t="shared" ref="G94:G99" si="22">I94-1</f>
        <v>113</v>
      </c>
      <c r="H94" s="16">
        <v>0.08</v>
      </c>
      <c r="I94" s="14">
        <v>114</v>
      </c>
      <c r="J94" s="9"/>
      <c r="K94" s="18">
        <f t="shared" ref="K94:K107" si="23">J94*F94</f>
        <v>0</v>
      </c>
      <c r="L94" s="18">
        <f t="shared" ref="L94:L107" si="24">K94+J94/2</f>
        <v>0</v>
      </c>
      <c r="M94" s="17">
        <f t="shared" ref="M94:M107" si="25">J94*I94</f>
        <v>0</v>
      </c>
      <c r="N94" s="19">
        <f t="shared" ref="N94:N107" si="26">M94+J94</f>
        <v>0</v>
      </c>
    </row>
    <row r="95" s="2" customFormat="1" spans="1:14">
      <c r="A95" s="13"/>
      <c r="B95" s="32" t="s">
        <v>222</v>
      </c>
      <c r="C95" s="30" t="s">
        <v>216</v>
      </c>
      <c r="D95" s="14" t="s">
        <v>136</v>
      </c>
      <c r="E95" s="31" t="s">
        <v>223</v>
      </c>
      <c r="F95" s="8">
        <v>7.2</v>
      </c>
      <c r="G95" s="14">
        <f t="shared" si="22"/>
        <v>73</v>
      </c>
      <c r="H95" s="16">
        <v>0.08</v>
      </c>
      <c r="I95" s="14">
        <v>74</v>
      </c>
      <c r="J95" s="9"/>
      <c r="K95" s="18">
        <f t="shared" si="23"/>
        <v>0</v>
      </c>
      <c r="L95" s="18">
        <f t="shared" si="24"/>
        <v>0</v>
      </c>
      <c r="M95" s="17">
        <f t="shared" si="25"/>
        <v>0</v>
      </c>
      <c r="N95" s="19">
        <f t="shared" si="26"/>
        <v>0</v>
      </c>
    </row>
    <row r="96" s="2" customFormat="1" spans="1:14">
      <c r="A96" s="13"/>
      <c r="B96" s="30" t="s">
        <v>224</v>
      </c>
      <c r="C96" s="30" t="s">
        <v>216</v>
      </c>
      <c r="D96" s="14" t="s">
        <v>136</v>
      </c>
      <c r="E96" s="31" t="s">
        <v>129</v>
      </c>
      <c r="F96" s="8">
        <v>6.9</v>
      </c>
      <c r="G96" s="14">
        <f t="shared" si="22"/>
        <v>73.7</v>
      </c>
      <c r="H96" s="16">
        <v>0.08</v>
      </c>
      <c r="I96" s="14">
        <v>74.7</v>
      </c>
      <c r="J96" s="9"/>
      <c r="K96" s="18">
        <f t="shared" si="23"/>
        <v>0</v>
      </c>
      <c r="L96" s="18">
        <f t="shared" si="24"/>
        <v>0</v>
      </c>
      <c r="M96" s="17">
        <f t="shared" si="25"/>
        <v>0</v>
      </c>
      <c r="N96" s="19">
        <f t="shared" si="26"/>
        <v>0</v>
      </c>
    </row>
    <row r="97" s="2" customFormat="1" spans="1:14">
      <c r="A97" s="13"/>
      <c r="B97" s="30" t="s">
        <v>225</v>
      </c>
      <c r="C97" s="30" t="s">
        <v>216</v>
      </c>
      <c r="D97" s="14" t="s">
        <v>136</v>
      </c>
      <c r="E97" s="31" t="s">
        <v>129</v>
      </c>
      <c r="F97" s="8">
        <v>9.9</v>
      </c>
      <c r="G97" s="14">
        <f t="shared" si="22"/>
        <v>74.1</v>
      </c>
      <c r="H97" s="16">
        <v>0.08</v>
      </c>
      <c r="I97" s="14">
        <v>75.1</v>
      </c>
      <c r="J97" s="9"/>
      <c r="K97" s="18">
        <f t="shared" si="23"/>
        <v>0</v>
      </c>
      <c r="L97" s="18">
        <f t="shared" si="24"/>
        <v>0</v>
      </c>
      <c r="M97" s="17">
        <f t="shared" si="25"/>
        <v>0</v>
      </c>
      <c r="N97" s="19">
        <f t="shared" si="26"/>
        <v>0</v>
      </c>
    </row>
    <row r="98" s="2" customFormat="1" spans="1:14">
      <c r="A98" s="13"/>
      <c r="B98" s="30" t="s">
        <v>226</v>
      </c>
      <c r="C98" s="30" t="s">
        <v>216</v>
      </c>
      <c r="D98" s="14" t="s">
        <v>136</v>
      </c>
      <c r="E98" s="31" t="s">
        <v>127</v>
      </c>
      <c r="F98" s="8">
        <v>7.8</v>
      </c>
      <c r="G98" s="14">
        <f t="shared" si="22"/>
        <v>58.1</v>
      </c>
      <c r="H98" s="16">
        <v>0.08</v>
      </c>
      <c r="I98" s="14">
        <v>59.1</v>
      </c>
      <c r="J98" s="9"/>
      <c r="K98" s="18">
        <f t="shared" si="23"/>
        <v>0</v>
      </c>
      <c r="L98" s="18">
        <f t="shared" si="24"/>
        <v>0</v>
      </c>
      <c r="M98" s="17">
        <f t="shared" si="25"/>
        <v>0</v>
      </c>
      <c r="N98" s="19">
        <f t="shared" si="26"/>
        <v>0</v>
      </c>
    </row>
    <row r="99" s="2" customFormat="1" spans="1:14">
      <c r="A99" s="13"/>
      <c r="B99" s="30" t="s">
        <v>227</v>
      </c>
      <c r="C99" s="30" t="s">
        <v>216</v>
      </c>
      <c r="D99" s="14" t="s">
        <v>136</v>
      </c>
      <c r="E99" s="31" t="s">
        <v>127</v>
      </c>
      <c r="F99" s="8">
        <v>7.8</v>
      </c>
      <c r="G99" s="14">
        <f t="shared" si="22"/>
        <v>124</v>
      </c>
      <c r="H99" s="16">
        <v>0.08</v>
      </c>
      <c r="I99" s="14">
        <v>125</v>
      </c>
      <c r="J99" s="9"/>
      <c r="K99" s="18">
        <f t="shared" si="23"/>
        <v>0</v>
      </c>
      <c r="L99" s="18">
        <f t="shared" si="24"/>
        <v>0</v>
      </c>
      <c r="M99" s="17">
        <f t="shared" si="25"/>
        <v>0</v>
      </c>
      <c r="N99" s="19">
        <f t="shared" si="26"/>
        <v>0</v>
      </c>
    </row>
    <row r="100" s="2" customFormat="1" spans="1:14">
      <c r="A100" s="13"/>
      <c r="B100" s="13" t="s">
        <v>228</v>
      </c>
      <c r="C100" s="13" t="s">
        <v>229</v>
      </c>
      <c r="D100" s="14" t="s">
        <v>136</v>
      </c>
      <c r="E100" s="13"/>
      <c r="F100" s="8">
        <v>6.3</v>
      </c>
      <c r="G100" s="14">
        <v>80</v>
      </c>
      <c r="H100" s="16">
        <v>0.08</v>
      </c>
      <c r="I100" s="14">
        <v>81</v>
      </c>
      <c r="J100" s="9"/>
      <c r="K100" s="18">
        <f t="shared" si="23"/>
        <v>0</v>
      </c>
      <c r="L100" s="18">
        <f t="shared" si="24"/>
        <v>0</v>
      </c>
      <c r="M100" s="17">
        <f t="shared" si="25"/>
        <v>0</v>
      </c>
      <c r="N100" s="19">
        <f t="shared" si="26"/>
        <v>0</v>
      </c>
    </row>
    <row r="101" s="2" customFormat="1" spans="1:14">
      <c r="A101" s="13"/>
      <c r="B101" s="20" t="s">
        <v>207</v>
      </c>
      <c r="C101" s="13" t="s">
        <v>229</v>
      </c>
      <c r="D101" s="14" t="s">
        <v>136</v>
      </c>
      <c r="E101" s="15" t="s">
        <v>208</v>
      </c>
      <c r="F101" s="8">
        <v>6.3</v>
      </c>
      <c r="G101" s="14">
        <v>68</v>
      </c>
      <c r="H101" s="16">
        <v>0.08</v>
      </c>
      <c r="I101" s="17">
        <f t="shared" ref="I101:I104" si="27">G101*(1+H101)</f>
        <v>73.44</v>
      </c>
      <c r="J101" s="9"/>
      <c r="K101" s="18">
        <f t="shared" si="23"/>
        <v>0</v>
      </c>
      <c r="L101" s="18">
        <f t="shared" si="24"/>
        <v>0</v>
      </c>
      <c r="M101" s="17">
        <f t="shared" si="25"/>
        <v>0</v>
      </c>
      <c r="N101" s="19">
        <f t="shared" si="26"/>
        <v>0</v>
      </c>
    </row>
    <row r="102" s="2" customFormat="1" spans="1:14">
      <c r="A102" s="13"/>
      <c r="B102" s="20" t="s">
        <v>209</v>
      </c>
      <c r="C102" s="13" t="s">
        <v>229</v>
      </c>
      <c r="D102" s="14" t="s">
        <v>136</v>
      </c>
      <c r="E102" s="15" t="s">
        <v>208</v>
      </c>
      <c r="F102" s="8">
        <v>7.5</v>
      </c>
      <c r="G102" s="14">
        <v>74</v>
      </c>
      <c r="H102" s="16">
        <v>0.08</v>
      </c>
      <c r="I102" s="17">
        <f t="shared" si="27"/>
        <v>79.92</v>
      </c>
      <c r="J102" s="9"/>
      <c r="K102" s="18">
        <f t="shared" si="23"/>
        <v>0</v>
      </c>
      <c r="L102" s="18">
        <f t="shared" si="24"/>
        <v>0</v>
      </c>
      <c r="M102" s="17">
        <f t="shared" si="25"/>
        <v>0</v>
      </c>
      <c r="N102" s="19">
        <f t="shared" si="26"/>
        <v>0</v>
      </c>
    </row>
    <row r="103" s="2" customFormat="1" spans="1:14">
      <c r="A103" s="13"/>
      <c r="B103" s="20" t="s">
        <v>210</v>
      </c>
      <c r="C103" s="13" t="s">
        <v>229</v>
      </c>
      <c r="D103" s="14" t="s">
        <v>136</v>
      </c>
      <c r="E103" s="15" t="s">
        <v>208</v>
      </c>
      <c r="F103" s="8">
        <v>7.5</v>
      </c>
      <c r="G103" s="14">
        <v>82</v>
      </c>
      <c r="H103" s="16">
        <v>0.08</v>
      </c>
      <c r="I103" s="17">
        <f t="shared" si="27"/>
        <v>88.56</v>
      </c>
      <c r="J103" s="9"/>
      <c r="K103" s="18">
        <f t="shared" si="23"/>
        <v>0</v>
      </c>
      <c r="L103" s="18">
        <f t="shared" si="24"/>
        <v>0</v>
      </c>
      <c r="M103" s="17">
        <f t="shared" si="25"/>
        <v>0</v>
      </c>
      <c r="N103" s="19">
        <f t="shared" si="26"/>
        <v>0</v>
      </c>
    </row>
    <row r="104" s="2" customFormat="1" spans="1:14">
      <c r="A104" s="13"/>
      <c r="B104" s="13" t="s">
        <v>211</v>
      </c>
      <c r="C104" s="13" t="s">
        <v>229</v>
      </c>
      <c r="D104" s="14" t="s">
        <v>136</v>
      </c>
      <c r="E104" s="15" t="s">
        <v>208</v>
      </c>
      <c r="F104" s="8">
        <v>8.1</v>
      </c>
      <c r="G104" s="14">
        <v>90</v>
      </c>
      <c r="H104" s="16">
        <v>0.08</v>
      </c>
      <c r="I104" s="17">
        <f t="shared" si="27"/>
        <v>97.2</v>
      </c>
      <c r="J104" s="9"/>
      <c r="K104" s="18">
        <f t="shared" si="23"/>
        <v>0</v>
      </c>
      <c r="L104" s="18">
        <f t="shared" si="24"/>
        <v>0</v>
      </c>
      <c r="M104" s="17">
        <f t="shared" si="25"/>
        <v>0</v>
      </c>
      <c r="N104" s="19">
        <f t="shared" si="26"/>
        <v>0</v>
      </c>
    </row>
    <row r="105" s="2" customFormat="1" spans="1:14">
      <c r="A105" s="13"/>
      <c r="B105" s="13" t="s">
        <v>230</v>
      </c>
      <c r="C105" s="13" t="s">
        <v>229</v>
      </c>
      <c r="D105" s="14" t="s">
        <v>136</v>
      </c>
      <c r="E105" s="15" t="s">
        <v>166</v>
      </c>
      <c r="F105" s="8">
        <v>9</v>
      </c>
      <c r="G105" s="14">
        <v>78</v>
      </c>
      <c r="H105" s="16">
        <v>0.08</v>
      </c>
      <c r="I105" s="17">
        <v>79</v>
      </c>
      <c r="J105" s="9"/>
      <c r="K105" s="18">
        <f t="shared" si="23"/>
        <v>0</v>
      </c>
      <c r="L105" s="18">
        <f t="shared" si="24"/>
        <v>0</v>
      </c>
      <c r="M105" s="17">
        <f t="shared" si="25"/>
        <v>0</v>
      </c>
      <c r="N105" s="19">
        <f t="shared" si="26"/>
        <v>0</v>
      </c>
    </row>
    <row r="106" s="2" customFormat="1" spans="1:14">
      <c r="A106" s="13"/>
      <c r="B106" s="30" t="s">
        <v>231</v>
      </c>
      <c r="C106" s="13" t="s">
        <v>229</v>
      </c>
      <c r="D106" s="14" t="s">
        <v>136</v>
      </c>
      <c r="E106" s="31" t="s">
        <v>127</v>
      </c>
      <c r="F106" s="8">
        <v>6.3</v>
      </c>
      <c r="G106" s="14">
        <f>I106-1</f>
        <v>69</v>
      </c>
      <c r="H106" s="16">
        <v>0.08</v>
      </c>
      <c r="I106" s="14">
        <v>70</v>
      </c>
      <c r="J106" s="9"/>
      <c r="K106" s="18">
        <f t="shared" si="23"/>
        <v>0</v>
      </c>
      <c r="L106" s="18">
        <f t="shared" si="24"/>
        <v>0</v>
      </c>
      <c r="M106" s="17">
        <f t="shared" si="25"/>
        <v>0</v>
      </c>
      <c r="N106" s="19">
        <f t="shared" si="26"/>
        <v>0</v>
      </c>
    </row>
    <row r="107" s="2" customFormat="1" spans="1:14">
      <c r="A107" s="13"/>
      <c r="B107" s="30" t="s">
        <v>232</v>
      </c>
      <c r="C107" s="13" t="s">
        <v>229</v>
      </c>
      <c r="D107" s="14" t="s">
        <v>136</v>
      </c>
      <c r="E107" s="31" t="s">
        <v>129</v>
      </c>
      <c r="F107" s="8">
        <v>6</v>
      </c>
      <c r="G107" s="14">
        <f>I107-1</f>
        <v>58</v>
      </c>
      <c r="H107" s="16">
        <v>0.08</v>
      </c>
      <c r="I107" s="14">
        <v>59</v>
      </c>
      <c r="J107" s="9"/>
      <c r="K107" s="18">
        <f t="shared" si="23"/>
        <v>0</v>
      </c>
      <c r="L107" s="18">
        <f t="shared" si="24"/>
        <v>0</v>
      </c>
      <c r="M107" s="17">
        <f t="shared" si="25"/>
        <v>0</v>
      </c>
      <c r="N107" s="19">
        <f t="shared" si="26"/>
        <v>0</v>
      </c>
    </row>
    <row r="108" spans="1:14">
      <c r="A108" s="13"/>
      <c r="B108" s="13"/>
      <c r="C108" s="13"/>
      <c r="D108" s="13"/>
      <c r="E108" s="13"/>
      <c r="F108" s="8"/>
      <c r="G108" s="14"/>
      <c r="H108" s="16"/>
      <c r="I108" s="24" t="s">
        <v>233</v>
      </c>
      <c r="J108" s="25"/>
      <c r="K108" s="25"/>
      <c r="L108" s="18">
        <f t="shared" ref="L108:L123" si="28">K108+J108/2</f>
        <v>0</v>
      </c>
      <c r="M108" s="25"/>
      <c r="N108" s="25"/>
    </row>
    <row r="109" spans="1:14">
      <c r="A109" s="13"/>
      <c r="B109" s="11" t="s">
        <v>234</v>
      </c>
      <c r="C109" s="11"/>
      <c r="D109" s="11"/>
      <c r="E109" s="11"/>
      <c r="F109" s="12"/>
      <c r="G109" s="14"/>
      <c r="H109" s="16"/>
      <c r="I109" s="17"/>
      <c r="J109" s="9" t="s">
        <v>235</v>
      </c>
      <c r="K109" s="18"/>
      <c r="L109" s="18">
        <v>0</v>
      </c>
      <c r="M109" s="17"/>
      <c r="N109" s="19">
        <v>0</v>
      </c>
    </row>
    <row r="110" spans="1:14">
      <c r="A110" s="13"/>
      <c r="B110" s="20" t="s">
        <v>236</v>
      </c>
      <c r="C110" s="9" t="s">
        <v>91</v>
      </c>
      <c r="D110" s="14" t="s">
        <v>237</v>
      </c>
      <c r="E110" s="15" t="s">
        <v>208</v>
      </c>
      <c r="F110" s="8">
        <v>4.5</v>
      </c>
      <c r="G110" s="14">
        <v>50.5</v>
      </c>
      <c r="H110" s="16">
        <v>0.08</v>
      </c>
      <c r="I110" s="17">
        <f>G110*(1+H110)</f>
        <v>54.54</v>
      </c>
      <c r="J110" s="9"/>
      <c r="K110" s="18">
        <f>J110*F110</f>
        <v>0</v>
      </c>
      <c r="L110" s="18">
        <f t="shared" si="28"/>
        <v>0</v>
      </c>
      <c r="M110" s="17">
        <f>J110*I110</f>
        <v>0</v>
      </c>
      <c r="N110" s="19">
        <f>M110+J110</f>
        <v>0</v>
      </c>
    </row>
    <row r="111" spans="1:14">
      <c r="A111" s="13"/>
      <c r="B111" s="20" t="s">
        <v>236</v>
      </c>
      <c r="C111" s="13" t="s">
        <v>229</v>
      </c>
      <c r="D111" s="14" t="s">
        <v>237</v>
      </c>
      <c r="E111" s="15" t="s">
        <v>208</v>
      </c>
      <c r="F111" s="8">
        <v>4.5</v>
      </c>
      <c r="G111" s="14">
        <v>50.5</v>
      </c>
      <c r="H111" s="16">
        <v>0.08</v>
      </c>
      <c r="I111" s="17">
        <f>G111*(1+H111)</f>
        <v>54.54</v>
      </c>
      <c r="J111" s="9"/>
      <c r="K111" s="18">
        <f>J111*F111</f>
        <v>0</v>
      </c>
      <c r="L111" s="18">
        <f t="shared" si="28"/>
        <v>0</v>
      </c>
      <c r="M111" s="17">
        <f>J111*I111</f>
        <v>0</v>
      </c>
      <c r="N111" s="19">
        <f>M111+J111</f>
        <v>0</v>
      </c>
    </row>
    <row r="112" spans="1:14">
      <c r="A112" s="13"/>
      <c r="B112" s="13"/>
      <c r="C112" s="13"/>
      <c r="D112" s="13"/>
      <c r="E112" s="13"/>
      <c r="F112" s="8"/>
      <c r="G112" s="14"/>
      <c r="H112" s="16"/>
      <c r="I112" s="24" t="s">
        <v>233</v>
      </c>
      <c r="J112" s="25"/>
      <c r="K112" s="25"/>
      <c r="L112" s="18">
        <f t="shared" si="28"/>
        <v>0</v>
      </c>
      <c r="M112" s="25"/>
      <c r="N112" s="25"/>
    </row>
    <row r="113" spans="1:14">
      <c r="A113" s="13"/>
      <c r="B113" s="13"/>
      <c r="C113" s="13"/>
      <c r="D113" s="13"/>
      <c r="E113" s="13"/>
      <c r="F113" s="8"/>
      <c r="G113" s="14"/>
      <c r="H113" s="16"/>
      <c r="I113" s="17"/>
      <c r="J113" s="9"/>
      <c r="K113" s="18"/>
      <c r="L113" s="18">
        <f t="shared" si="28"/>
        <v>0</v>
      </c>
      <c r="M113" s="17"/>
      <c r="N113" s="19"/>
    </row>
    <row r="114" spans="1:14">
      <c r="A114" s="13"/>
      <c r="B114" s="11" t="s">
        <v>238</v>
      </c>
      <c r="C114" s="11"/>
      <c r="D114" s="11"/>
      <c r="E114" s="11"/>
      <c r="F114" s="12"/>
      <c r="G114" s="14"/>
      <c r="H114" s="16"/>
      <c r="I114" s="17"/>
      <c r="J114" s="9"/>
      <c r="K114" s="18"/>
      <c r="L114" s="18">
        <f t="shared" si="28"/>
        <v>0</v>
      </c>
      <c r="M114" s="17"/>
      <c r="N114" s="19">
        <f t="shared" ref="N114:N127" si="29">M114+J114</f>
        <v>0</v>
      </c>
    </row>
    <row r="115" spans="1:14">
      <c r="A115" s="13"/>
      <c r="B115" s="20" t="s">
        <v>239</v>
      </c>
      <c r="C115" s="9" t="s">
        <v>91</v>
      </c>
      <c r="D115" s="14" t="s">
        <v>126</v>
      </c>
      <c r="E115" s="15" t="s">
        <v>208</v>
      </c>
      <c r="F115" s="8">
        <v>4.5</v>
      </c>
      <c r="G115" s="14">
        <v>51</v>
      </c>
      <c r="H115" s="16">
        <v>0.08</v>
      </c>
      <c r="I115" s="17">
        <f t="shared" ref="I115:I127" si="30">G115*(1+H115)</f>
        <v>55.08</v>
      </c>
      <c r="J115" s="9"/>
      <c r="K115" s="18">
        <f t="shared" ref="K115:K127" si="31">J115*F115</f>
        <v>0</v>
      </c>
      <c r="L115" s="18">
        <f t="shared" si="28"/>
        <v>0</v>
      </c>
      <c r="M115" s="17">
        <f t="shared" ref="M115:M127" si="32">J115*I115</f>
        <v>0</v>
      </c>
      <c r="N115" s="19">
        <f t="shared" si="29"/>
        <v>0</v>
      </c>
    </row>
    <row r="116" ht="14" customHeight="1" spans="1:14">
      <c r="A116" s="13"/>
      <c r="B116" s="13" t="s">
        <v>240</v>
      </c>
      <c r="C116" s="9" t="s">
        <v>91</v>
      </c>
      <c r="D116" s="14" t="s">
        <v>126</v>
      </c>
      <c r="E116" s="15" t="s">
        <v>208</v>
      </c>
      <c r="F116" s="8">
        <v>4.5</v>
      </c>
      <c r="G116" s="14">
        <v>54</v>
      </c>
      <c r="H116" s="16">
        <v>0.08</v>
      </c>
      <c r="I116" s="17">
        <f t="shared" si="30"/>
        <v>58.32</v>
      </c>
      <c r="J116" s="9"/>
      <c r="K116" s="18">
        <f t="shared" si="31"/>
        <v>0</v>
      </c>
      <c r="L116" s="18">
        <f t="shared" si="28"/>
        <v>0</v>
      </c>
      <c r="M116" s="17">
        <f t="shared" si="32"/>
        <v>0</v>
      </c>
      <c r="N116" s="19">
        <f t="shared" si="29"/>
        <v>0</v>
      </c>
    </row>
    <row r="117" spans="1:14">
      <c r="A117" s="13"/>
      <c r="B117" s="20" t="s">
        <v>241</v>
      </c>
      <c r="C117" s="9" t="s">
        <v>91</v>
      </c>
      <c r="D117" s="14" t="s">
        <v>126</v>
      </c>
      <c r="E117" s="15" t="s">
        <v>208</v>
      </c>
      <c r="F117" s="8">
        <v>5.5</v>
      </c>
      <c r="G117" s="14">
        <v>61</v>
      </c>
      <c r="H117" s="16">
        <v>0.08</v>
      </c>
      <c r="I117" s="17">
        <f t="shared" si="30"/>
        <v>65.88</v>
      </c>
      <c r="J117" s="9"/>
      <c r="K117" s="18">
        <f t="shared" si="31"/>
        <v>0</v>
      </c>
      <c r="L117" s="18">
        <f t="shared" si="28"/>
        <v>0</v>
      </c>
      <c r="M117" s="17">
        <f t="shared" si="32"/>
        <v>0</v>
      </c>
      <c r="N117" s="19">
        <f t="shared" si="29"/>
        <v>0</v>
      </c>
    </row>
    <row r="118" spans="1:14">
      <c r="A118" s="13"/>
      <c r="B118" s="20" t="s">
        <v>242</v>
      </c>
      <c r="C118" s="9" t="s">
        <v>91</v>
      </c>
      <c r="D118" s="14" t="s">
        <v>126</v>
      </c>
      <c r="E118" s="15" t="s">
        <v>208</v>
      </c>
      <c r="F118" s="8">
        <v>5.5</v>
      </c>
      <c r="G118" s="14">
        <v>64</v>
      </c>
      <c r="H118" s="16">
        <v>0.08</v>
      </c>
      <c r="I118" s="17">
        <f t="shared" si="30"/>
        <v>69.12</v>
      </c>
      <c r="J118" s="9"/>
      <c r="K118" s="18">
        <f t="shared" si="31"/>
        <v>0</v>
      </c>
      <c r="L118" s="18">
        <f t="shared" si="28"/>
        <v>0</v>
      </c>
      <c r="M118" s="17">
        <f t="shared" si="32"/>
        <v>0</v>
      </c>
      <c r="N118" s="19">
        <f t="shared" si="29"/>
        <v>0</v>
      </c>
    </row>
    <row r="119" spans="1:14">
      <c r="A119" s="13"/>
      <c r="B119" s="20" t="s">
        <v>243</v>
      </c>
      <c r="C119" s="9" t="s">
        <v>91</v>
      </c>
      <c r="D119" s="14" t="s">
        <v>126</v>
      </c>
      <c r="E119" s="15" t="s">
        <v>208</v>
      </c>
      <c r="F119" s="8"/>
      <c r="G119" s="14"/>
      <c r="H119" s="16">
        <v>0.08</v>
      </c>
      <c r="I119" s="17"/>
      <c r="J119" s="9"/>
      <c r="K119" s="18">
        <f t="shared" si="31"/>
        <v>0</v>
      </c>
      <c r="L119" s="18">
        <f t="shared" si="28"/>
        <v>0</v>
      </c>
      <c r="M119" s="17">
        <f t="shared" si="32"/>
        <v>0</v>
      </c>
      <c r="N119" s="19">
        <f t="shared" si="29"/>
        <v>0</v>
      </c>
    </row>
    <row r="120" spans="1:14">
      <c r="A120" s="13"/>
      <c r="B120" s="20" t="s">
        <v>244</v>
      </c>
      <c r="C120" s="9" t="s">
        <v>91</v>
      </c>
      <c r="D120" s="14" t="s">
        <v>126</v>
      </c>
      <c r="E120" s="15" t="s">
        <v>208</v>
      </c>
      <c r="F120" s="8">
        <v>6.5</v>
      </c>
      <c r="G120" s="14">
        <v>69</v>
      </c>
      <c r="H120" s="16">
        <v>0.08</v>
      </c>
      <c r="I120" s="17">
        <f t="shared" si="30"/>
        <v>74.52</v>
      </c>
      <c r="J120" s="9"/>
      <c r="K120" s="18">
        <f t="shared" si="31"/>
        <v>0</v>
      </c>
      <c r="L120" s="18">
        <f t="shared" si="28"/>
        <v>0</v>
      </c>
      <c r="M120" s="17">
        <f t="shared" si="32"/>
        <v>0</v>
      </c>
      <c r="N120" s="19">
        <f t="shared" si="29"/>
        <v>0</v>
      </c>
    </row>
    <row r="121" spans="1:14">
      <c r="A121" s="13"/>
      <c r="B121" s="13" t="s">
        <v>245</v>
      </c>
      <c r="C121" s="9" t="s">
        <v>91</v>
      </c>
      <c r="D121" s="14" t="s">
        <v>126</v>
      </c>
      <c r="E121" s="15" t="s">
        <v>208</v>
      </c>
      <c r="F121" s="8">
        <v>6.5</v>
      </c>
      <c r="G121" s="14">
        <v>72</v>
      </c>
      <c r="H121" s="16">
        <v>0.08</v>
      </c>
      <c r="I121" s="17">
        <f t="shared" si="30"/>
        <v>77.76</v>
      </c>
      <c r="J121" s="9"/>
      <c r="K121" s="18">
        <f t="shared" si="31"/>
        <v>0</v>
      </c>
      <c r="L121" s="18">
        <f t="shared" si="28"/>
        <v>0</v>
      </c>
      <c r="M121" s="17">
        <f t="shared" si="32"/>
        <v>0</v>
      </c>
      <c r="N121" s="19">
        <f t="shared" si="29"/>
        <v>0</v>
      </c>
    </row>
    <row r="122" spans="1:14">
      <c r="A122" s="13"/>
      <c r="B122" s="20" t="s">
        <v>246</v>
      </c>
      <c r="C122" s="9" t="s">
        <v>91</v>
      </c>
      <c r="D122" s="14" t="s">
        <v>126</v>
      </c>
      <c r="E122" s="15" t="s">
        <v>208</v>
      </c>
      <c r="F122" s="8">
        <v>8.5</v>
      </c>
      <c r="G122" s="14">
        <v>90</v>
      </c>
      <c r="H122" s="16">
        <v>0.08</v>
      </c>
      <c r="I122" s="17">
        <f t="shared" si="30"/>
        <v>97.2</v>
      </c>
      <c r="J122" s="9"/>
      <c r="K122" s="18">
        <f t="shared" si="31"/>
        <v>0</v>
      </c>
      <c r="L122" s="18">
        <f t="shared" si="28"/>
        <v>0</v>
      </c>
      <c r="M122" s="17">
        <f t="shared" si="32"/>
        <v>0</v>
      </c>
      <c r="N122" s="19">
        <f t="shared" si="29"/>
        <v>0</v>
      </c>
    </row>
    <row r="123" spans="1:14">
      <c r="A123" s="13"/>
      <c r="B123" s="20" t="s">
        <v>247</v>
      </c>
      <c r="C123" s="9" t="s">
        <v>91</v>
      </c>
      <c r="D123" s="14" t="s">
        <v>126</v>
      </c>
      <c r="E123" s="15" t="s">
        <v>208</v>
      </c>
      <c r="F123" s="8">
        <v>8.5</v>
      </c>
      <c r="G123" s="14">
        <v>93</v>
      </c>
      <c r="H123" s="16">
        <v>0.08</v>
      </c>
      <c r="I123" s="17">
        <f t="shared" si="30"/>
        <v>100.44</v>
      </c>
      <c r="J123" s="33"/>
      <c r="K123" s="18">
        <f t="shared" si="31"/>
        <v>0</v>
      </c>
      <c r="L123" s="18">
        <f t="shared" si="28"/>
        <v>0</v>
      </c>
      <c r="M123" s="17">
        <f t="shared" si="32"/>
        <v>0</v>
      </c>
      <c r="N123" s="19">
        <f t="shared" si="29"/>
        <v>0</v>
      </c>
    </row>
    <row r="124" spans="1:14">
      <c r="A124" s="13"/>
      <c r="B124" s="13" t="s">
        <v>248</v>
      </c>
      <c r="C124" s="9" t="s">
        <v>91</v>
      </c>
      <c r="D124" s="14" t="s">
        <v>126</v>
      </c>
      <c r="E124" s="15" t="s">
        <v>129</v>
      </c>
      <c r="F124" s="8"/>
      <c r="G124" s="14"/>
      <c r="H124" s="16">
        <v>0.08</v>
      </c>
      <c r="I124" s="17"/>
      <c r="J124" s="9"/>
      <c r="K124" s="18">
        <f t="shared" si="31"/>
        <v>0</v>
      </c>
      <c r="L124" s="18">
        <f t="shared" ref="L124:L129" si="33">K124+J124/2</f>
        <v>0</v>
      </c>
      <c r="M124" s="17">
        <f t="shared" si="32"/>
        <v>0</v>
      </c>
      <c r="N124" s="19">
        <f t="shared" si="29"/>
        <v>0</v>
      </c>
    </row>
    <row r="125" spans="1:14">
      <c r="A125" s="13"/>
      <c r="B125" s="20" t="s">
        <v>249</v>
      </c>
      <c r="C125" s="9" t="s">
        <v>91</v>
      </c>
      <c r="D125" s="14" t="s">
        <v>126</v>
      </c>
      <c r="E125" s="15" t="s">
        <v>129</v>
      </c>
      <c r="F125" s="8">
        <v>6.8</v>
      </c>
      <c r="G125" s="14">
        <v>71</v>
      </c>
      <c r="H125" s="16">
        <v>0.08</v>
      </c>
      <c r="I125" s="17">
        <f t="shared" si="30"/>
        <v>76.68</v>
      </c>
      <c r="J125" s="9"/>
      <c r="K125" s="18">
        <f t="shared" si="31"/>
        <v>0</v>
      </c>
      <c r="L125" s="18">
        <f t="shared" si="33"/>
        <v>0</v>
      </c>
      <c r="M125" s="17">
        <f t="shared" si="32"/>
        <v>0</v>
      </c>
      <c r="N125" s="19">
        <f t="shared" si="29"/>
        <v>0</v>
      </c>
    </row>
    <row r="126" spans="1:14">
      <c r="A126" s="13"/>
      <c r="B126" s="20" t="s">
        <v>250</v>
      </c>
      <c r="C126" s="9" t="s">
        <v>91</v>
      </c>
      <c r="D126" s="14" t="s">
        <v>126</v>
      </c>
      <c r="E126" s="15" t="s">
        <v>129</v>
      </c>
      <c r="F126" s="8">
        <v>6.8</v>
      </c>
      <c r="G126" s="14">
        <v>74</v>
      </c>
      <c r="H126" s="16">
        <v>0.08</v>
      </c>
      <c r="I126" s="17">
        <f t="shared" si="30"/>
        <v>79.92</v>
      </c>
      <c r="J126" s="9"/>
      <c r="K126" s="18">
        <f t="shared" si="31"/>
        <v>0</v>
      </c>
      <c r="L126" s="18">
        <f t="shared" si="33"/>
        <v>0</v>
      </c>
      <c r="M126" s="17">
        <f t="shared" si="32"/>
        <v>0</v>
      </c>
      <c r="N126" s="19">
        <f t="shared" si="29"/>
        <v>0</v>
      </c>
    </row>
    <row r="127" spans="1:14">
      <c r="A127" s="13"/>
      <c r="B127" s="13" t="s">
        <v>251</v>
      </c>
      <c r="C127" s="9" t="s">
        <v>91</v>
      </c>
      <c r="D127" s="14" t="s">
        <v>126</v>
      </c>
      <c r="E127" s="15" t="s">
        <v>129</v>
      </c>
      <c r="F127" s="8"/>
      <c r="G127" s="14"/>
      <c r="H127" s="16">
        <v>0.08</v>
      </c>
      <c r="I127" s="17"/>
      <c r="J127" s="9"/>
      <c r="K127" s="18">
        <f t="shared" si="31"/>
        <v>0</v>
      </c>
      <c r="L127" s="18">
        <f t="shared" si="33"/>
        <v>0</v>
      </c>
      <c r="M127" s="17">
        <f t="shared" si="32"/>
        <v>0</v>
      </c>
      <c r="N127" s="19">
        <f t="shared" si="29"/>
        <v>0</v>
      </c>
    </row>
    <row r="128" spans="1:14">
      <c r="A128" s="13"/>
      <c r="B128" s="13"/>
      <c r="C128" s="13"/>
      <c r="D128" s="13"/>
      <c r="E128" s="13"/>
      <c r="F128" s="8"/>
      <c r="G128" s="14"/>
      <c r="H128" s="16"/>
      <c r="I128" s="24" t="s">
        <v>233</v>
      </c>
      <c r="J128" s="25"/>
      <c r="K128" s="25"/>
      <c r="L128" s="18">
        <f t="shared" si="33"/>
        <v>0</v>
      </c>
      <c r="M128" s="25"/>
      <c r="N128" s="25"/>
    </row>
    <row r="129" spans="1:14">
      <c r="A129" s="13"/>
      <c r="B129" s="20" t="s">
        <v>252</v>
      </c>
      <c r="C129" s="9" t="s">
        <v>253</v>
      </c>
      <c r="D129" s="14" t="s">
        <v>254</v>
      </c>
      <c r="E129" s="15" t="s">
        <v>255</v>
      </c>
      <c r="F129" s="8">
        <v>4.45</v>
      </c>
      <c r="G129" s="14">
        <v>74</v>
      </c>
      <c r="H129" s="16">
        <v>0.08</v>
      </c>
      <c r="I129" s="17">
        <v>99.5</v>
      </c>
      <c r="J129" s="9"/>
      <c r="K129" s="18">
        <f t="shared" ref="K129:K135" si="34">J129*F129</f>
        <v>0</v>
      </c>
      <c r="L129" s="18">
        <f>J129*4.73</f>
        <v>0</v>
      </c>
      <c r="M129" s="17">
        <f t="shared" ref="M129:M135" si="35">J129*I129</f>
        <v>0</v>
      </c>
      <c r="N129" s="19">
        <f t="shared" ref="N129:N135" si="36">M129+J129</f>
        <v>0</v>
      </c>
    </row>
    <row r="130" s="3" customFormat="1" spans="1:14">
      <c r="A130" s="34"/>
      <c r="B130" s="20" t="s">
        <v>256</v>
      </c>
      <c r="C130" s="35" t="s">
        <v>257</v>
      </c>
      <c r="D130" s="36" t="s">
        <v>254</v>
      </c>
      <c r="E130" s="37"/>
      <c r="F130" s="38">
        <v>3.2</v>
      </c>
      <c r="G130" s="36">
        <v>82</v>
      </c>
      <c r="H130" s="39">
        <v>0.08</v>
      </c>
      <c r="I130" s="40">
        <v>83</v>
      </c>
      <c r="J130" s="35"/>
      <c r="K130" s="35">
        <f t="shared" si="34"/>
        <v>0</v>
      </c>
      <c r="L130" s="35">
        <f t="shared" ref="L130:L132" si="37">J130*4.06</f>
        <v>0</v>
      </c>
      <c r="M130" s="40">
        <f t="shared" si="35"/>
        <v>0</v>
      </c>
      <c r="N130" s="41">
        <f t="shared" si="36"/>
        <v>0</v>
      </c>
    </row>
    <row r="131" s="3" customFormat="1" spans="1:14">
      <c r="A131" s="34"/>
      <c r="B131" s="20" t="s">
        <v>258</v>
      </c>
      <c r="C131" s="35" t="s">
        <v>257</v>
      </c>
      <c r="D131" s="36" t="s">
        <v>254</v>
      </c>
      <c r="E131" s="37"/>
      <c r="F131" s="38">
        <v>3.2</v>
      </c>
      <c r="G131" s="36">
        <v>82</v>
      </c>
      <c r="H131" s="39">
        <v>0.08</v>
      </c>
      <c r="I131" s="40">
        <v>83</v>
      </c>
      <c r="J131" s="35"/>
      <c r="K131" s="35">
        <f t="shared" si="34"/>
        <v>0</v>
      </c>
      <c r="L131" s="35">
        <f t="shared" si="37"/>
        <v>0</v>
      </c>
      <c r="M131" s="40">
        <f t="shared" si="35"/>
        <v>0</v>
      </c>
      <c r="N131" s="41">
        <f t="shared" si="36"/>
        <v>0</v>
      </c>
    </row>
    <row r="132" s="3" customFormat="1" spans="1:14">
      <c r="A132" s="34"/>
      <c r="B132" s="20" t="s">
        <v>259</v>
      </c>
      <c r="C132" s="35" t="s">
        <v>257</v>
      </c>
      <c r="D132" s="36" t="s">
        <v>254</v>
      </c>
      <c r="E132" s="37"/>
      <c r="F132" s="38">
        <v>4.95</v>
      </c>
      <c r="G132" s="36">
        <v>82</v>
      </c>
      <c r="H132" s="39">
        <v>0.08</v>
      </c>
      <c r="I132" s="40">
        <v>86.2</v>
      </c>
      <c r="J132" s="35"/>
      <c r="K132" s="35">
        <f t="shared" si="34"/>
        <v>0</v>
      </c>
      <c r="L132" s="35">
        <f>J132*6.19</f>
        <v>0</v>
      </c>
      <c r="M132" s="40">
        <f t="shared" si="35"/>
        <v>0</v>
      </c>
      <c r="N132" s="41">
        <f t="shared" si="36"/>
        <v>0</v>
      </c>
    </row>
    <row r="133" s="3" customFormat="1" spans="1:14">
      <c r="A133" s="34"/>
      <c r="B133" s="20" t="s">
        <v>260</v>
      </c>
      <c r="C133" s="35" t="s">
        <v>257</v>
      </c>
      <c r="D133" s="36" t="s">
        <v>254</v>
      </c>
      <c r="E133" s="37"/>
      <c r="F133" s="38">
        <v>1.76</v>
      </c>
      <c r="G133" s="36">
        <v>82</v>
      </c>
      <c r="H133" s="39">
        <v>0.08</v>
      </c>
      <c r="I133" s="40">
        <v>38.64</v>
      </c>
      <c r="J133" s="35"/>
      <c r="K133" s="35">
        <f t="shared" si="34"/>
        <v>0</v>
      </c>
      <c r="L133" s="35">
        <f>J133*2.16</f>
        <v>0</v>
      </c>
      <c r="M133" s="40">
        <f t="shared" si="35"/>
        <v>0</v>
      </c>
      <c r="N133" s="41">
        <f t="shared" si="36"/>
        <v>0</v>
      </c>
    </row>
    <row r="134" s="3" customFormat="1" spans="1:14">
      <c r="A134" s="34"/>
      <c r="B134" s="20" t="s">
        <v>261</v>
      </c>
      <c r="C134" s="35" t="s">
        <v>257</v>
      </c>
      <c r="D134" s="36" t="s">
        <v>254</v>
      </c>
      <c r="E134" s="37"/>
      <c r="F134" s="38">
        <v>3.76</v>
      </c>
      <c r="G134" s="36">
        <v>87.18</v>
      </c>
      <c r="H134" s="39">
        <v>0.08</v>
      </c>
      <c r="I134" s="40">
        <v>88.18</v>
      </c>
      <c r="J134" s="35"/>
      <c r="K134" s="35">
        <f t="shared" si="34"/>
        <v>0</v>
      </c>
      <c r="L134" s="35">
        <f>J134*4.88</f>
        <v>0</v>
      </c>
      <c r="M134" s="40">
        <f t="shared" si="35"/>
        <v>0</v>
      </c>
      <c r="N134" s="41">
        <f t="shared" si="36"/>
        <v>0</v>
      </c>
    </row>
    <row r="135" s="3" customFormat="1" spans="1:14">
      <c r="A135" s="34"/>
      <c r="B135" s="20" t="s">
        <v>262</v>
      </c>
      <c r="C135" s="35" t="s">
        <v>257</v>
      </c>
      <c r="D135" s="36" t="s">
        <v>254</v>
      </c>
      <c r="E135" s="37"/>
      <c r="F135" s="38">
        <v>4.95</v>
      </c>
      <c r="G135" s="36">
        <v>101.04</v>
      </c>
      <c r="H135" s="39">
        <v>0.08</v>
      </c>
      <c r="I135" s="40">
        <v>102.04</v>
      </c>
      <c r="J135" s="35"/>
      <c r="K135" s="35">
        <f t="shared" si="34"/>
        <v>0</v>
      </c>
      <c r="L135" s="35">
        <f>J135*6.19</f>
        <v>0</v>
      </c>
      <c r="M135" s="40">
        <f t="shared" si="35"/>
        <v>0</v>
      </c>
      <c r="N135" s="41">
        <f t="shared" si="36"/>
        <v>0</v>
      </c>
    </row>
    <row r="136" spans="1:14">
      <c r="A136" s="13"/>
      <c r="F136" s="8"/>
      <c r="G136" s="14"/>
      <c r="H136" s="16"/>
      <c r="I136" s="17"/>
      <c r="J136" s="9"/>
      <c r="K136" s="18"/>
      <c r="L136" s="18">
        <f t="shared" ref="L136:L183" si="38">K136+J136/2</f>
        <v>0</v>
      </c>
      <c r="M136" s="17"/>
      <c r="N136" s="19">
        <f t="shared" ref="N136:N143" si="39">M136+J136</f>
        <v>0</v>
      </c>
    </row>
    <row r="137" spans="1:14">
      <c r="A137" s="13"/>
      <c r="B137" s="11" t="s">
        <v>263</v>
      </c>
      <c r="C137" s="11"/>
      <c r="D137" s="11"/>
      <c r="E137" s="11"/>
      <c r="F137" s="12"/>
      <c r="G137" s="14"/>
      <c r="H137" s="16"/>
      <c r="I137" s="17"/>
      <c r="J137" s="5"/>
      <c r="K137" s="18"/>
      <c r="L137" s="18">
        <f t="shared" si="38"/>
        <v>0</v>
      </c>
      <c r="M137" s="17"/>
      <c r="N137" s="19">
        <f t="shared" si="39"/>
        <v>0</v>
      </c>
    </row>
    <row r="138" spans="1:14">
      <c r="A138" s="13"/>
      <c r="B138" s="20" t="s">
        <v>264</v>
      </c>
      <c r="C138" s="9" t="s">
        <v>91</v>
      </c>
      <c r="D138" s="14" t="s">
        <v>123</v>
      </c>
      <c r="E138" s="15" t="s">
        <v>208</v>
      </c>
      <c r="F138" s="8">
        <v>2.5</v>
      </c>
      <c r="G138" s="14">
        <v>31.5</v>
      </c>
      <c r="H138" s="16">
        <v>0.08</v>
      </c>
      <c r="I138" s="17">
        <f t="shared" ref="I138:I143" si="40">G138*(1+H138)</f>
        <v>34.02</v>
      </c>
      <c r="J138" s="9"/>
      <c r="K138" s="18">
        <f t="shared" ref="K138:K143" si="41">J138*F138</f>
        <v>0</v>
      </c>
      <c r="L138" s="18">
        <f t="shared" si="38"/>
        <v>0</v>
      </c>
      <c r="M138" s="17">
        <f t="shared" ref="M138:M143" si="42">J138*I138</f>
        <v>0</v>
      </c>
      <c r="N138" s="19">
        <f t="shared" si="39"/>
        <v>0</v>
      </c>
    </row>
    <row r="139" spans="1:14">
      <c r="A139" s="13"/>
      <c r="B139" s="20" t="s">
        <v>265</v>
      </c>
      <c r="C139" s="9" t="s">
        <v>91</v>
      </c>
      <c r="D139" s="14" t="s">
        <v>123</v>
      </c>
      <c r="E139" s="15" t="s">
        <v>208</v>
      </c>
      <c r="F139" s="8">
        <v>3.5</v>
      </c>
      <c r="G139" s="14">
        <v>42.5</v>
      </c>
      <c r="H139" s="16">
        <v>0.08</v>
      </c>
      <c r="I139" s="17">
        <f t="shared" si="40"/>
        <v>45.9</v>
      </c>
      <c r="J139" s="9"/>
      <c r="K139" s="18">
        <f t="shared" si="41"/>
        <v>0</v>
      </c>
      <c r="L139" s="18">
        <f t="shared" si="38"/>
        <v>0</v>
      </c>
      <c r="M139" s="17">
        <f t="shared" si="42"/>
        <v>0</v>
      </c>
      <c r="N139" s="19">
        <f t="shared" si="39"/>
        <v>0</v>
      </c>
    </row>
    <row r="140" spans="1:14">
      <c r="A140" s="13"/>
      <c r="B140" s="20" t="s">
        <v>266</v>
      </c>
      <c r="C140" s="9" t="s">
        <v>91</v>
      </c>
      <c r="D140" s="14" t="s">
        <v>123</v>
      </c>
      <c r="E140" s="15" t="s">
        <v>129</v>
      </c>
      <c r="F140" s="8">
        <v>3.9</v>
      </c>
      <c r="G140" s="14">
        <v>47</v>
      </c>
      <c r="H140" s="16">
        <v>0.08</v>
      </c>
      <c r="I140" s="17">
        <f t="shared" si="40"/>
        <v>50.76</v>
      </c>
      <c r="J140" s="5"/>
      <c r="K140" s="18">
        <f t="shared" si="41"/>
        <v>0</v>
      </c>
      <c r="L140" s="18">
        <f t="shared" si="38"/>
        <v>0</v>
      </c>
      <c r="M140" s="17">
        <f t="shared" si="42"/>
        <v>0</v>
      </c>
      <c r="N140" s="19">
        <f t="shared" si="39"/>
        <v>0</v>
      </c>
    </row>
    <row r="141" spans="1:14">
      <c r="B141" s="20" t="s">
        <v>267</v>
      </c>
      <c r="C141" s="9" t="s">
        <v>91</v>
      </c>
      <c r="D141" s="14" t="s">
        <v>123</v>
      </c>
      <c r="E141" s="13"/>
      <c r="F141" s="8">
        <v>4</v>
      </c>
      <c r="G141" s="14">
        <v>52</v>
      </c>
      <c r="H141" s="42">
        <v>0.095</v>
      </c>
      <c r="I141" s="17">
        <f t="shared" si="40"/>
        <v>56.94</v>
      </c>
      <c r="J141" s="5"/>
      <c r="K141" s="18">
        <f t="shared" si="41"/>
        <v>0</v>
      </c>
      <c r="L141" s="18">
        <f t="shared" si="38"/>
        <v>0</v>
      </c>
      <c r="M141" s="17">
        <f t="shared" si="42"/>
        <v>0</v>
      </c>
      <c r="N141" s="19">
        <f t="shared" si="39"/>
        <v>0</v>
      </c>
    </row>
    <row r="142" spans="1:14">
      <c r="B142" s="13" t="s">
        <v>268</v>
      </c>
      <c r="C142" s="9" t="s">
        <v>91</v>
      </c>
      <c r="D142" s="14" t="s">
        <v>123</v>
      </c>
      <c r="E142" s="13"/>
      <c r="F142" s="8">
        <v>3</v>
      </c>
      <c r="G142" s="14">
        <v>34</v>
      </c>
      <c r="H142" s="42">
        <v>0.095</v>
      </c>
      <c r="I142" s="17">
        <f t="shared" si="40"/>
        <v>37.23</v>
      </c>
      <c r="J142" s="5"/>
      <c r="K142" s="18">
        <f t="shared" si="41"/>
        <v>0</v>
      </c>
      <c r="L142" s="18">
        <f t="shared" si="38"/>
        <v>0</v>
      </c>
      <c r="M142" s="17">
        <f t="shared" si="42"/>
        <v>0</v>
      </c>
      <c r="N142" s="19">
        <f t="shared" si="39"/>
        <v>0</v>
      </c>
    </row>
    <row r="143" s="4" customFormat="1" spans="1:14">
      <c r="A143" s="27"/>
      <c r="B143" s="20" t="s">
        <v>269</v>
      </c>
      <c r="C143" s="9" t="s">
        <v>91</v>
      </c>
      <c r="D143" s="14" t="s">
        <v>123</v>
      </c>
      <c r="E143" s="13"/>
      <c r="F143" s="43">
        <v>2.5</v>
      </c>
      <c r="G143" s="28">
        <v>40.5</v>
      </c>
      <c r="H143" s="44">
        <v>0.1</v>
      </c>
      <c r="I143" s="17">
        <f t="shared" si="40"/>
        <v>44.55</v>
      </c>
      <c r="J143" s="9"/>
      <c r="K143" s="18">
        <f t="shared" si="41"/>
        <v>0</v>
      </c>
      <c r="L143" s="18">
        <f t="shared" si="38"/>
        <v>0</v>
      </c>
      <c r="M143" s="17">
        <f t="shared" si="42"/>
        <v>0</v>
      </c>
      <c r="N143" s="19">
        <f t="shared" si="39"/>
        <v>0</v>
      </c>
    </row>
    <row r="144" spans="1:14">
      <c r="B144" s="13"/>
      <c r="C144" s="13"/>
      <c r="D144" s="13"/>
      <c r="E144" s="13"/>
      <c r="I144" s="45" t="s">
        <v>233</v>
      </c>
      <c r="J144" s="45"/>
      <c r="K144" s="45"/>
      <c r="L144" s="18">
        <f t="shared" si="38"/>
        <v>0</v>
      </c>
      <c r="M144" s="45"/>
      <c r="N144" s="45"/>
    </row>
    <row r="145" spans="1:14">
      <c r="B145" s="11" t="s">
        <v>270</v>
      </c>
      <c r="C145" s="11"/>
      <c r="D145" s="11"/>
      <c r="E145" s="11"/>
      <c r="F145" s="12"/>
      <c r="L145" s="18">
        <f t="shared" si="38"/>
        <v>0</v>
      </c>
      <c r="N145" s="19">
        <f t="shared" ref="N145:N155" si="43">M145+J145</f>
        <v>0</v>
      </c>
    </row>
    <row r="146" spans="1:14">
      <c r="A146" s="13"/>
      <c r="B146" s="20" t="s">
        <v>271</v>
      </c>
      <c r="C146" s="9" t="s">
        <v>91</v>
      </c>
      <c r="D146" s="14" t="s">
        <v>143</v>
      </c>
      <c r="E146" s="15" t="s">
        <v>129</v>
      </c>
      <c r="F146" s="8">
        <v>4</v>
      </c>
      <c r="G146" s="14">
        <v>58</v>
      </c>
      <c r="H146" s="16">
        <v>0.08</v>
      </c>
      <c r="I146" s="17">
        <f>G146*(1+H146)</f>
        <v>62.64</v>
      </c>
      <c r="J146" s="9"/>
      <c r="K146" s="18">
        <f>J146*F146</f>
        <v>0</v>
      </c>
      <c r="L146" s="18">
        <f t="shared" si="38"/>
        <v>0</v>
      </c>
      <c r="M146" s="17">
        <f>J146*I146</f>
        <v>0</v>
      </c>
      <c r="N146" s="19">
        <f t="shared" si="43"/>
        <v>0</v>
      </c>
    </row>
    <row r="147" spans="1:14">
      <c r="A147" s="13"/>
      <c r="B147" s="13" t="s">
        <v>272</v>
      </c>
      <c r="C147" s="9" t="s">
        <v>91</v>
      </c>
      <c r="D147" s="14" t="s">
        <v>143</v>
      </c>
      <c r="E147" s="13"/>
      <c r="F147" s="8">
        <v>3.8</v>
      </c>
      <c r="G147" s="14">
        <v>75</v>
      </c>
      <c r="H147" s="16">
        <v>0.1</v>
      </c>
      <c r="I147" s="17">
        <f>G147*(1+H147)</f>
        <v>82.5</v>
      </c>
      <c r="J147" s="9"/>
      <c r="K147" s="18">
        <f>J147*F147</f>
        <v>0</v>
      </c>
      <c r="L147" s="18">
        <f t="shared" si="38"/>
        <v>0</v>
      </c>
      <c r="M147" s="17">
        <f>J147*I147</f>
        <v>0</v>
      </c>
      <c r="N147" s="19">
        <f t="shared" si="43"/>
        <v>0</v>
      </c>
    </row>
    <row r="148" spans="1:14">
      <c r="A148" s="13"/>
      <c r="B148" s="11" t="s">
        <v>273</v>
      </c>
      <c r="C148" s="11"/>
      <c r="D148" s="11"/>
      <c r="E148" s="11"/>
      <c r="F148" s="12"/>
      <c r="G148" s="14"/>
      <c r="H148" s="16"/>
      <c r="I148" s="17"/>
      <c r="J148" s="9"/>
      <c r="K148" s="18"/>
      <c r="L148" s="18">
        <f t="shared" si="38"/>
        <v>0</v>
      </c>
      <c r="M148" s="17"/>
      <c r="N148" s="19">
        <f t="shared" si="43"/>
        <v>0</v>
      </c>
    </row>
    <row r="149" spans="1:14">
      <c r="A149" s="13"/>
      <c r="B149" s="2" t="s">
        <v>274</v>
      </c>
      <c r="C149" s="9" t="s">
        <v>100</v>
      </c>
      <c r="D149" s="14" t="s">
        <v>275</v>
      </c>
      <c r="E149" s="5">
        <v>1000</v>
      </c>
      <c r="F149" s="8">
        <v>6</v>
      </c>
      <c r="G149" s="14">
        <v>163.5</v>
      </c>
      <c r="H149" s="16">
        <v>0.11</v>
      </c>
      <c r="I149" s="17">
        <f>G149*(1+H149)</f>
        <v>181.485</v>
      </c>
      <c r="J149" s="9"/>
      <c r="K149" s="18">
        <f>J149*F149</f>
        <v>0</v>
      </c>
      <c r="L149" s="18">
        <f t="shared" si="38"/>
        <v>0</v>
      </c>
      <c r="M149" s="17">
        <f>J149*I149</f>
        <v>0</v>
      </c>
      <c r="N149" s="19">
        <f t="shared" si="43"/>
        <v>0</v>
      </c>
    </row>
    <row r="150" spans="1:14">
      <c r="A150" s="13"/>
      <c r="B150" s="5" t="s">
        <v>276</v>
      </c>
      <c r="C150" s="9" t="s">
        <v>100</v>
      </c>
      <c r="D150" s="14" t="s">
        <v>275</v>
      </c>
      <c r="E150" s="5">
        <v>1000</v>
      </c>
      <c r="F150" s="8">
        <v>3.5</v>
      </c>
      <c r="G150" s="14">
        <v>159.1</v>
      </c>
      <c r="H150" s="16">
        <v>0.11</v>
      </c>
      <c r="I150" s="17">
        <f>G150*(1+H150)</f>
        <v>176.601</v>
      </c>
      <c r="J150" s="9"/>
      <c r="K150" s="18">
        <f>J150*F150</f>
        <v>0</v>
      </c>
      <c r="L150" s="18">
        <f t="shared" si="38"/>
        <v>0</v>
      </c>
      <c r="M150" s="17">
        <f>J150*I150</f>
        <v>0</v>
      </c>
      <c r="N150" s="19">
        <f t="shared" si="43"/>
        <v>0</v>
      </c>
    </row>
    <row r="151" spans="1:14">
      <c r="A151" s="13"/>
      <c r="B151" s="2" t="s">
        <v>277</v>
      </c>
      <c r="C151" s="9" t="s">
        <v>100</v>
      </c>
      <c r="D151" s="14" t="s">
        <v>275</v>
      </c>
      <c r="E151" s="5">
        <v>1000</v>
      </c>
      <c r="F151" s="8">
        <v>3.5</v>
      </c>
      <c r="G151" s="14">
        <v>124.7</v>
      </c>
      <c r="H151" s="16">
        <v>0.11</v>
      </c>
      <c r="I151" s="17">
        <f>G151*(1+H151)</f>
        <v>138.417</v>
      </c>
      <c r="J151" s="9"/>
      <c r="K151" s="18">
        <f>J151*F151</f>
        <v>0</v>
      </c>
      <c r="L151" s="18">
        <f t="shared" si="38"/>
        <v>0</v>
      </c>
      <c r="M151" s="17">
        <f>J151*I151</f>
        <v>0</v>
      </c>
      <c r="N151" s="19">
        <f t="shared" si="43"/>
        <v>0</v>
      </c>
    </row>
    <row r="152" spans="1:14">
      <c r="A152" s="13"/>
      <c r="B152" s="5" t="s">
        <v>278</v>
      </c>
      <c r="C152" s="9" t="s">
        <v>100</v>
      </c>
      <c r="D152" s="14" t="s">
        <v>275</v>
      </c>
      <c r="E152" s="5">
        <v>1000</v>
      </c>
      <c r="F152" s="8">
        <v>3.5</v>
      </c>
      <c r="G152" s="14">
        <v>93.5</v>
      </c>
      <c r="H152" s="16">
        <v>0.11</v>
      </c>
      <c r="I152" s="17">
        <f>G152*(1+H152)</f>
        <v>103.785</v>
      </c>
      <c r="J152" s="9"/>
      <c r="K152" s="18">
        <f>J152*F152</f>
        <v>0</v>
      </c>
      <c r="L152" s="18">
        <f t="shared" si="38"/>
        <v>0</v>
      </c>
      <c r="M152" s="17">
        <f>J152*I152</f>
        <v>0</v>
      </c>
      <c r="N152" s="19">
        <f t="shared" si="43"/>
        <v>0</v>
      </c>
    </row>
    <row r="153" spans="1:14">
      <c r="A153" s="13"/>
      <c r="B153" s="11" t="s">
        <v>279</v>
      </c>
      <c r="C153" s="11"/>
      <c r="D153" s="11"/>
      <c r="E153" s="11"/>
      <c r="F153" s="12"/>
      <c r="G153" s="14"/>
      <c r="H153" s="16"/>
      <c r="I153" s="17"/>
      <c r="J153" s="9"/>
      <c r="K153" s="18"/>
      <c r="L153" s="18">
        <f t="shared" si="38"/>
        <v>0</v>
      </c>
      <c r="M153" s="17"/>
      <c r="N153" s="19">
        <f t="shared" si="43"/>
        <v>0</v>
      </c>
    </row>
    <row r="154" spans="1:14">
      <c r="A154" s="15" t="s">
        <v>280</v>
      </c>
      <c r="B154" s="13" t="s">
        <v>281</v>
      </c>
      <c r="C154" s="9" t="s">
        <v>101</v>
      </c>
      <c r="D154" s="14" t="s">
        <v>282</v>
      </c>
      <c r="E154" s="15" t="s">
        <v>283</v>
      </c>
      <c r="F154" s="8">
        <v>8</v>
      </c>
      <c r="G154" s="14">
        <f t="shared" ref="G154:G161" si="44">I154/(1+H154)</f>
        <v>123.893805309735</v>
      </c>
      <c r="H154" s="16">
        <v>0.13</v>
      </c>
      <c r="I154" s="17">
        <v>140</v>
      </c>
      <c r="J154" s="9"/>
      <c r="K154" s="18">
        <f>J154*F154</f>
        <v>0</v>
      </c>
      <c r="L154" s="18">
        <f t="shared" si="38"/>
        <v>0</v>
      </c>
      <c r="M154" s="17">
        <f>J154*I154</f>
        <v>0</v>
      </c>
      <c r="N154" s="19">
        <f t="shared" si="43"/>
        <v>0</v>
      </c>
    </row>
    <row r="155" spans="1:14">
      <c r="A155" s="15" t="s">
        <v>280</v>
      </c>
      <c r="B155" s="15" t="s">
        <v>284</v>
      </c>
      <c r="C155" s="9" t="s">
        <v>101</v>
      </c>
      <c r="D155" s="14" t="s">
        <v>282</v>
      </c>
      <c r="E155" s="15" t="s">
        <v>208</v>
      </c>
      <c r="F155" s="8">
        <v>10.5</v>
      </c>
      <c r="G155" s="14">
        <f t="shared" si="44"/>
        <v>153.752212389381</v>
      </c>
      <c r="H155" s="16">
        <v>0.13</v>
      </c>
      <c r="I155" s="17">
        <v>173.74</v>
      </c>
      <c r="J155" s="9"/>
      <c r="K155" s="18">
        <f>J155*F155</f>
        <v>0</v>
      </c>
      <c r="L155" s="18">
        <f t="shared" si="38"/>
        <v>0</v>
      </c>
      <c r="M155" s="17">
        <f>J155*I155</f>
        <v>0</v>
      </c>
      <c r="N155" s="19">
        <f t="shared" si="43"/>
        <v>0</v>
      </c>
    </row>
    <row r="156" spans="1:14">
      <c r="A156" s="15" t="s">
        <v>280</v>
      </c>
      <c r="B156" s="15" t="s">
        <v>285</v>
      </c>
      <c r="C156" s="9" t="s">
        <v>101</v>
      </c>
      <c r="D156" s="14" t="s">
        <v>286</v>
      </c>
      <c r="E156" s="15" t="s">
        <v>119</v>
      </c>
      <c r="F156" s="8">
        <v>6</v>
      </c>
      <c r="G156" s="14">
        <f t="shared" si="44"/>
        <v>176.991150442478</v>
      </c>
      <c r="H156" s="16">
        <v>0.13</v>
      </c>
      <c r="I156" s="17">
        <v>200</v>
      </c>
      <c r="J156" s="9"/>
      <c r="K156" s="18">
        <f t="shared" ref="K156:K161" si="45">J156*F156</f>
        <v>0</v>
      </c>
      <c r="L156" s="18">
        <f t="shared" si="38"/>
        <v>0</v>
      </c>
      <c r="M156" s="17">
        <f t="shared" ref="M156:M161" si="46">J156*I156</f>
        <v>0</v>
      </c>
      <c r="N156" s="19">
        <f t="shared" ref="N156:N161" si="47">M156+J156</f>
        <v>0</v>
      </c>
    </row>
    <row r="157" spans="1:14">
      <c r="A157" s="15" t="s">
        <v>280</v>
      </c>
      <c r="B157" s="15" t="s">
        <v>287</v>
      </c>
      <c r="C157" s="9" t="s">
        <v>101</v>
      </c>
      <c r="D157" s="14" t="s">
        <v>288</v>
      </c>
      <c r="E157" s="15" t="s">
        <v>119</v>
      </c>
      <c r="F157" s="8">
        <v>4</v>
      </c>
      <c r="G157" s="14">
        <f t="shared" si="44"/>
        <v>123.893805309735</v>
      </c>
      <c r="H157" s="16">
        <v>0.13</v>
      </c>
      <c r="I157" s="17">
        <v>140</v>
      </c>
      <c r="J157" s="9"/>
      <c r="K157" s="18">
        <f t="shared" si="45"/>
        <v>0</v>
      </c>
      <c r="L157" s="18">
        <f t="shared" si="38"/>
        <v>0</v>
      </c>
      <c r="M157" s="17">
        <f t="shared" si="46"/>
        <v>0</v>
      </c>
      <c r="N157" s="19">
        <f t="shared" si="47"/>
        <v>0</v>
      </c>
    </row>
    <row r="158" spans="1:14">
      <c r="A158" s="15" t="s">
        <v>280</v>
      </c>
      <c r="B158" s="15" t="s">
        <v>289</v>
      </c>
      <c r="C158" s="9" t="s">
        <v>101</v>
      </c>
      <c r="D158" s="14" t="s">
        <v>286</v>
      </c>
      <c r="E158" s="15" t="s">
        <v>119</v>
      </c>
      <c r="F158" s="8">
        <v>8</v>
      </c>
      <c r="G158" s="14">
        <f t="shared" si="44"/>
        <v>230.088495575221</v>
      </c>
      <c r="H158" s="16">
        <v>0.13</v>
      </c>
      <c r="I158" s="17">
        <v>260</v>
      </c>
      <c r="J158" s="9"/>
      <c r="K158" s="18">
        <f t="shared" si="45"/>
        <v>0</v>
      </c>
      <c r="L158" s="18">
        <f t="shared" si="38"/>
        <v>0</v>
      </c>
      <c r="M158" s="17">
        <f t="shared" si="46"/>
        <v>0</v>
      </c>
      <c r="N158" s="19">
        <f t="shared" si="47"/>
        <v>0</v>
      </c>
    </row>
    <row r="159" spans="1:14">
      <c r="A159" s="15" t="s">
        <v>280</v>
      </c>
      <c r="B159" s="15" t="s">
        <v>290</v>
      </c>
      <c r="C159" s="9" t="s">
        <v>101</v>
      </c>
      <c r="D159" s="14" t="s">
        <v>282</v>
      </c>
      <c r="E159" s="15" t="s">
        <v>208</v>
      </c>
      <c r="F159" s="8">
        <v>8</v>
      </c>
      <c r="G159" s="14">
        <f t="shared" si="44"/>
        <v>115.929203539823</v>
      </c>
      <c r="H159" s="16">
        <v>0.13</v>
      </c>
      <c r="I159" s="17">
        <v>131</v>
      </c>
      <c r="J159" s="9"/>
      <c r="K159" s="18">
        <f t="shared" si="45"/>
        <v>0</v>
      </c>
      <c r="L159" s="18">
        <f t="shared" si="38"/>
        <v>0</v>
      </c>
      <c r="M159" s="17">
        <f t="shared" si="46"/>
        <v>0</v>
      </c>
      <c r="N159" s="19">
        <f t="shared" si="47"/>
        <v>0</v>
      </c>
    </row>
    <row r="160" spans="1:14">
      <c r="A160" s="15" t="s">
        <v>280</v>
      </c>
      <c r="B160" s="15" t="s">
        <v>291</v>
      </c>
      <c r="C160" s="9" t="s">
        <v>101</v>
      </c>
      <c r="D160" s="14" t="s">
        <v>288</v>
      </c>
      <c r="E160" s="15" t="s">
        <v>119</v>
      </c>
      <c r="F160" s="8">
        <v>6</v>
      </c>
      <c r="G160" s="14">
        <f t="shared" si="44"/>
        <v>88.495575221239</v>
      </c>
      <c r="H160" s="16">
        <v>0.13</v>
      </c>
      <c r="I160" s="17">
        <v>100</v>
      </c>
      <c r="J160" s="9"/>
      <c r="K160" s="18">
        <f t="shared" si="45"/>
        <v>0</v>
      </c>
      <c r="L160" s="18">
        <f t="shared" si="38"/>
        <v>0</v>
      </c>
      <c r="M160" s="17">
        <f t="shared" si="46"/>
        <v>0</v>
      </c>
      <c r="N160" s="19">
        <f t="shared" si="47"/>
        <v>0</v>
      </c>
    </row>
    <row r="161" s="4" customFormat="1" spans="1:15">
      <c r="A161" s="15" t="s">
        <v>280</v>
      </c>
      <c r="B161" s="20" t="s">
        <v>292</v>
      </c>
      <c r="C161" s="9" t="s">
        <v>293</v>
      </c>
      <c r="D161" s="14" t="s">
        <v>282</v>
      </c>
      <c r="E161" s="15" t="s">
        <v>283</v>
      </c>
      <c r="F161" s="8">
        <v>6</v>
      </c>
      <c r="G161" s="14">
        <f>I161-1</f>
        <v>107</v>
      </c>
      <c r="H161" s="16">
        <v>0.13</v>
      </c>
      <c r="I161" s="17">
        <v>108</v>
      </c>
      <c r="J161" s="9"/>
      <c r="K161" s="18">
        <f t="shared" si="45"/>
        <v>0</v>
      </c>
      <c r="L161" s="18">
        <f t="shared" si="38"/>
        <v>0</v>
      </c>
      <c r="M161" s="17">
        <f t="shared" si="46"/>
        <v>0</v>
      </c>
      <c r="N161" s="19">
        <f t="shared" si="47"/>
        <v>0</v>
      </c>
    </row>
    <row r="162" spans="1:15">
      <c r="A162" s="15"/>
      <c r="B162" s="15" t="s">
        <v>294</v>
      </c>
      <c r="C162" s="9" t="s">
        <v>295</v>
      </c>
      <c r="D162" s="14" t="s">
        <v>282</v>
      </c>
      <c r="E162" s="15" t="s">
        <v>283</v>
      </c>
      <c r="F162" s="8">
        <v>7</v>
      </c>
      <c r="G162" s="14">
        <f>I162/(1+H162)</f>
        <v>129.203539823009</v>
      </c>
      <c r="H162" s="16">
        <v>0.13</v>
      </c>
      <c r="I162" s="17">
        <v>146</v>
      </c>
      <c r="J162" s="9"/>
      <c r="K162" s="18">
        <f t="shared" ref="K162:K165" si="48">J162*F162</f>
        <v>0</v>
      </c>
      <c r="L162" s="18">
        <f t="shared" si="38"/>
        <v>0</v>
      </c>
      <c r="M162" s="17">
        <f t="shared" ref="M162:M165" si="49">J162*I162</f>
        <v>0</v>
      </c>
      <c r="N162" s="19">
        <f t="shared" ref="N162:N165" si="50">M162+J162</f>
        <v>0</v>
      </c>
    </row>
    <row r="163" spans="1:15">
      <c r="A163" s="13"/>
      <c r="B163" s="13" t="s">
        <v>296</v>
      </c>
      <c r="C163" s="9" t="s">
        <v>295</v>
      </c>
      <c r="D163" s="14" t="s">
        <v>282</v>
      </c>
      <c r="E163" s="15" t="s">
        <v>283</v>
      </c>
      <c r="F163" s="8">
        <v>9.5</v>
      </c>
      <c r="G163" s="14">
        <v>140</v>
      </c>
      <c r="H163" s="16">
        <v>0.13</v>
      </c>
      <c r="I163" s="17">
        <f>G163*(1+H163)</f>
        <v>158.2</v>
      </c>
      <c r="J163" s="9"/>
      <c r="K163" s="18">
        <f t="shared" si="48"/>
        <v>0</v>
      </c>
      <c r="L163" s="18">
        <f t="shared" si="38"/>
        <v>0</v>
      </c>
      <c r="M163" s="17">
        <f t="shared" si="49"/>
        <v>0</v>
      </c>
      <c r="N163" s="19">
        <f t="shared" si="50"/>
        <v>0</v>
      </c>
    </row>
    <row r="164" s="4" customFormat="1" spans="1:15">
      <c r="A164" s="27"/>
      <c r="B164" s="13" t="s">
        <v>297</v>
      </c>
      <c r="C164" s="9" t="s">
        <v>295</v>
      </c>
      <c r="D164" s="14" t="s">
        <v>282</v>
      </c>
      <c r="E164" s="15" t="s">
        <v>208</v>
      </c>
      <c r="F164" s="43">
        <v>7.5</v>
      </c>
      <c r="G164" s="14">
        <f>I164/(1+H164)</f>
        <v>103.371681415929</v>
      </c>
      <c r="H164" s="44">
        <v>0.13</v>
      </c>
      <c r="I164" s="46">
        <v>116.81</v>
      </c>
      <c r="J164" s="43"/>
      <c r="K164" s="47">
        <f t="shared" si="48"/>
        <v>0</v>
      </c>
      <c r="L164" s="18">
        <f t="shared" si="38"/>
        <v>0</v>
      </c>
      <c r="M164" s="46">
        <f t="shared" si="49"/>
        <v>0</v>
      </c>
      <c r="N164" s="19">
        <f t="shared" si="50"/>
        <v>0</v>
      </c>
    </row>
    <row r="165" s="4" customFormat="1" spans="1:15">
      <c r="A165" s="27"/>
      <c r="B165" s="13" t="s">
        <v>298</v>
      </c>
      <c r="C165" s="9" t="s">
        <v>295</v>
      </c>
      <c r="D165" s="14" t="s">
        <v>282</v>
      </c>
      <c r="E165" s="15" t="s">
        <v>208</v>
      </c>
      <c r="F165" s="8">
        <v>10.5</v>
      </c>
      <c r="G165" s="14">
        <f>I165-1</f>
        <v>177.2</v>
      </c>
      <c r="H165" s="16">
        <v>0.13</v>
      </c>
      <c r="I165" s="17">
        <v>178.2</v>
      </c>
      <c r="J165" s="9"/>
      <c r="K165" s="47">
        <f t="shared" si="48"/>
        <v>0</v>
      </c>
      <c r="L165" s="18">
        <f t="shared" si="38"/>
        <v>0</v>
      </c>
      <c r="M165" s="46">
        <f t="shared" si="49"/>
        <v>0</v>
      </c>
      <c r="N165" s="19">
        <f t="shared" si="50"/>
        <v>0</v>
      </c>
    </row>
    <row r="166" s="4" customFormat="1" ht="11" customHeight="1" spans="1:15">
      <c r="A166" s="27"/>
      <c r="B166" s="15" t="s">
        <v>299</v>
      </c>
      <c r="C166" s="13" t="s">
        <v>300</v>
      </c>
      <c r="D166" s="14" t="s">
        <v>288</v>
      </c>
      <c r="E166" s="15" t="s">
        <v>283</v>
      </c>
      <c r="F166" s="43">
        <v>4.5</v>
      </c>
      <c r="G166" s="14">
        <f>I166/(1+H166)</f>
        <v>132.743362831858</v>
      </c>
      <c r="H166" s="44">
        <v>0.13</v>
      </c>
      <c r="I166" s="46">
        <v>150</v>
      </c>
      <c r="J166" s="43"/>
      <c r="K166" s="47">
        <f t="shared" ref="K166:K180" si="51">J166*F166</f>
        <v>0</v>
      </c>
      <c r="L166" s="18">
        <f t="shared" si="38"/>
        <v>0</v>
      </c>
      <c r="M166" s="46">
        <f t="shared" ref="M166:M180" si="52">J166*I166</f>
        <v>0</v>
      </c>
      <c r="N166" s="19">
        <f t="shared" ref="N166:N185" si="53">M166+J166</f>
        <v>0</v>
      </c>
    </row>
    <row r="167" s="4" customFormat="1" spans="1:15">
      <c r="A167" s="27"/>
      <c r="B167" s="15" t="s">
        <v>285</v>
      </c>
      <c r="C167" s="9" t="s">
        <v>96</v>
      </c>
      <c r="D167" s="14" t="s">
        <v>288</v>
      </c>
      <c r="E167" s="15" t="s">
        <v>119</v>
      </c>
      <c r="F167" s="43">
        <v>6</v>
      </c>
      <c r="G167" s="14">
        <v>145</v>
      </c>
      <c r="H167" s="44">
        <v>0.13</v>
      </c>
      <c r="I167" s="17">
        <f>G167*(1+H167)</f>
        <v>163.85</v>
      </c>
      <c r="J167" s="43"/>
      <c r="K167" s="47">
        <f t="shared" si="51"/>
        <v>0</v>
      </c>
      <c r="L167" s="18">
        <f t="shared" si="38"/>
        <v>0</v>
      </c>
      <c r="M167" s="46">
        <f t="shared" si="52"/>
        <v>0</v>
      </c>
      <c r="N167" s="19">
        <f t="shared" si="53"/>
        <v>0</v>
      </c>
    </row>
    <row r="168" s="4" customFormat="1" spans="1:15">
      <c r="A168" s="27"/>
      <c r="B168" s="15" t="s">
        <v>301</v>
      </c>
      <c r="C168" s="9" t="s">
        <v>96</v>
      </c>
      <c r="D168" s="14" t="s">
        <v>288</v>
      </c>
      <c r="E168" s="15" t="s">
        <v>119</v>
      </c>
      <c r="F168" s="43">
        <v>4</v>
      </c>
      <c r="G168" s="14">
        <v>101</v>
      </c>
      <c r="H168" s="44">
        <v>0.13</v>
      </c>
      <c r="I168" s="17">
        <f>G168*(1+H168)</f>
        <v>114.13</v>
      </c>
      <c r="J168" s="43"/>
      <c r="K168" s="47">
        <f t="shared" si="51"/>
        <v>0</v>
      </c>
      <c r="L168" s="18">
        <f t="shared" si="38"/>
        <v>0</v>
      </c>
      <c r="M168" s="46">
        <f t="shared" si="52"/>
        <v>0</v>
      </c>
      <c r="N168" s="19">
        <f t="shared" si="53"/>
        <v>0</v>
      </c>
    </row>
    <row r="169" s="4" customFormat="1" spans="1:15">
      <c r="A169" s="27"/>
      <c r="B169" s="13" t="s">
        <v>302</v>
      </c>
      <c r="C169" s="9" t="s">
        <v>96</v>
      </c>
      <c r="D169" s="14" t="s">
        <v>286</v>
      </c>
      <c r="E169" s="15" t="s">
        <v>119</v>
      </c>
      <c r="F169" s="43">
        <v>4</v>
      </c>
      <c r="G169" s="28">
        <v>115</v>
      </c>
      <c r="H169" s="44">
        <v>0.08</v>
      </c>
      <c r="I169" s="17">
        <f>G169*(1+H169)</f>
        <v>124.2</v>
      </c>
      <c r="J169" s="9"/>
      <c r="K169" s="18">
        <f t="shared" si="51"/>
        <v>0</v>
      </c>
      <c r="L169" s="18">
        <f t="shared" si="38"/>
        <v>0</v>
      </c>
      <c r="M169" s="17">
        <f t="shared" si="52"/>
        <v>0</v>
      </c>
      <c r="N169" s="19">
        <f t="shared" si="53"/>
        <v>0</v>
      </c>
    </row>
    <row r="170" s="4" customFormat="1" spans="1:15">
      <c r="A170" s="15"/>
      <c r="B170" s="15" t="s">
        <v>287</v>
      </c>
      <c r="C170" s="9" t="s">
        <v>96</v>
      </c>
      <c r="D170" s="14" t="s">
        <v>288</v>
      </c>
      <c r="E170" s="15" t="s">
        <v>119</v>
      </c>
      <c r="F170" s="8">
        <v>4</v>
      </c>
      <c r="G170" s="14">
        <f>I170/(1+H170)</f>
        <v>123.893805309735</v>
      </c>
      <c r="H170" s="16">
        <v>0.13</v>
      </c>
      <c r="I170" s="17">
        <v>140</v>
      </c>
      <c r="J170" s="9"/>
      <c r="K170" s="18">
        <f t="shared" si="51"/>
        <v>0</v>
      </c>
      <c r="L170" s="18">
        <f t="shared" si="38"/>
        <v>0</v>
      </c>
      <c r="M170" s="17">
        <f t="shared" si="52"/>
        <v>0</v>
      </c>
      <c r="N170" s="19">
        <f t="shared" si="53"/>
        <v>0</v>
      </c>
      <c r="O170" s="2"/>
    </row>
    <row r="171" s="4" customFormat="1" spans="1:15">
      <c r="A171" s="27"/>
      <c r="B171" s="13" t="s">
        <v>303</v>
      </c>
      <c r="C171" s="9" t="s">
        <v>304</v>
      </c>
      <c r="D171" s="14" t="s">
        <v>305</v>
      </c>
      <c r="E171" s="15"/>
      <c r="F171" s="43">
        <v>11</v>
      </c>
      <c r="G171" s="28">
        <f>I171-1</f>
        <v>177.5</v>
      </c>
      <c r="H171" s="44"/>
      <c r="I171" s="17">
        <v>178.5</v>
      </c>
      <c r="J171" s="9"/>
      <c r="K171" s="18">
        <f t="shared" si="51"/>
        <v>0</v>
      </c>
      <c r="L171" s="18">
        <f t="shared" si="38"/>
        <v>0</v>
      </c>
      <c r="M171" s="17">
        <f t="shared" si="52"/>
        <v>0</v>
      </c>
      <c r="N171" s="19">
        <f t="shared" si="53"/>
        <v>0</v>
      </c>
    </row>
    <row r="172" s="4" customFormat="1" spans="1:15">
      <c r="A172" s="27"/>
      <c r="B172" s="13" t="s">
        <v>306</v>
      </c>
      <c r="C172" s="9" t="s">
        <v>304</v>
      </c>
      <c r="D172" s="14" t="s">
        <v>307</v>
      </c>
      <c r="E172" s="15"/>
      <c r="F172" s="43">
        <v>8</v>
      </c>
      <c r="G172" s="28">
        <f>I172-1</f>
        <v>127.5</v>
      </c>
      <c r="H172" s="44"/>
      <c r="I172" s="17">
        <v>128.5</v>
      </c>
      <c r="J172" s="9"/>
      <c r="K172" s="18">
        <f t="shared" si="51"/>
        <v>0</v>
      </c>
      <c r="L172" s="18">
        <f t="shared" si="38"/>
        <v>0</v>
      </c>
      <c r="M172" s="17">
        <f t="shared" si="52"/>
        <v>0</v>
      </c>
      <c r="N172" s="19">
        <f t="shared" si="53"/>
        <v>0</v>
      </c>
    </row>
    <row r="173" s="4" customFormat="1" spans="1:15">
      <c r="A173" s="15"/>
      <c r="B173" s="15" t="s">
        <v>285</v>
      </c>
      <c r="C173" s="9" t="s">
        <v>293</v>
      </c>
      <c r="D173" s="14" t="s">
        <v>286</v>
      </c>
      <c r="E173" s="15" t="s">
        <v>119</v>
      </c>
      <c r="F173" s="8">
        <v>6</v>
      </c>
      <c r="G173" s="14">
        <f>I173/(1+H173)</f>
        <v>176.991150442478</v>
      </c>
      <c r="H173" s="16">
        <v>0.13</v>
      </c>
      <c r="I173" s="17">
        <v>200</v>
      </c>
      <c r="J173" s="9"/>
      <c r="K173" s="18">
        <f t="shared" si="51"/>
        <v>0</v>
      </c>
      <c r="L173" s="18">
        <f t="shared" si="38"/>
        <v>0</v>
      </c>
      <c r="M173" s="17">
        <f t="shared" si="52"/>
        <v>0</v>
      </c>
      <c r="N173" s="19">
        <f t="shared" si="53"/>
        <v>0</v>
      </c>
    </row>
    <row r="174" s="4" customFormat="1" spans="1:15">
      <c r="A174" s="15"/>
      <c r="B174" s="15" t="s">
        <v>287</v>
      </c>
      <c r="C174" s="9" t="s">
        <v>293</v>
      </c>
      <c r="D174" s="14" t="s">
        <v>288</v>
      </c>
      <c r="E174" s="15" t="s">
        <v>119</v>
      </c>
      <c r="F174" s="8">
        <v>4</v>
      </c>
      <c r="G174" s="14">
        <f>I174/(1+H174)</f>
        <v>123.893805309735</v>
      </c>
      <c r="H174" s="16">
        <v>0.13</v>
      </c>
      <c r="I174" s="17">
        <v>140</v>
      </c>
      <c r="J174" s="9"/>
      <c r="K174" s="18">
        <f t="shared" si="51"/>
        <v>0</v>
      </c>
      <c r="L174" s="18">
        <f t="shared" si="38"/>
        <v>0</v>
      </c>
      <c r="M174" s="17">
        <f t="shared" si="52"/>
        <v>0</v>
      </c>
      <c r="N174" s="19">
        <f t="shared" si="53"/>
        <v>0</v>
      </c>
    </row>
    <row r="175" s="4" customFormat="1" ht="13" customHeight="1" spans="1:15">
      <c r="A175" s="27"/>
      <c r="B175" s="13" t="s">
        <v>302</v>
      </c>
      <c r="C175" s="9" t="s">
        <v>293</v>
      </c>
      <c r="D175" s="14" t="s">
        <v>286</v>
      </c>
      <c r="E175" s="15" t="s">
        <v>119</v>
      </c>
      <c r="F175" s="8">
        <v>4</v>
      </c>
      <c r="G175" s="14">
        <v>115</v>
      </c>
      <c r="H175" s="16">
        <v>0.08</v>
      </c>
      <c r="I175" s="17">
        <f>G175*(1+H175)</f>
        <v>124.2</v>
      </c>
      <c r="J175" s="9"/>
      <c r="K175" s="18">
        <f t="shared" si="51"/>
        <v>0</v>
      </c>
      <c r="L175" s="18">
        <f t="shared" si="38"/>
        <v>0</v>
      </c>
      <c r="M175" s="17">
        <f t="shared" si="52"/>
        <v>0</v>
      </c>
      <c r="N175" s="19">
        <f t="shared" si="53"/>
        <v>0</v>
      </c>
    </row>
    <row r="176" s="4" customFormat="1" spans="1:15">
      <c r="A176" s="27"/>
      <c r="B176" s="20" t="s">
        <v>292</v>
      </c>
      <c r="C176" s="9" t="s">
        <v>293</v>
      </c>
      <c r="D176" s="14" t="s">
        <v>282</v>
      </c>
      <c r="E176" s="15" t="s">
        <v>283</v>
      </c>
      <c r="F176" s="8">
        <v>6</v>
      </c>
      <c r="G176" s="14">
        <f>I176-1</f>
        <v>107</v>
      </c>
      <c r="H176" s="16">
        <v>0.13</v>
      </c>
      <c r="I176" s="17">
        <v>108</v>
      </c>
      <c r="J176" s="9"/>
      <c r="K176" s="18">
        <f t="shared" si="51"/>
        <v>0</v>
      </c>
      <c r="L176" s="18">
        <f t="shared" si="38"/>
        <v>0</v>
      </c>
      <c r="M176" s="17">
        <f t="shared" si="52"/>
        <v>0</v>
      </c>
      <c r="N176" s="19">
        <f t="shared" si="53"/>
        <v>0</v>
      </c>
    </row>
    <row r="177" s="4" customFormat="1" spans="1:14">
      <c r="A177" s="27"/>
      <c r="B177" s="13" t="s">
        <v>297</v>
      </c>
      <c r="C177" s="9" t="s">
        <v>293</v>
      </c>
      <c r="D177" s="14" t="s">
        <v>282</v>
      </c>
      <c r="E177" s="15" t="s">
        <v>208</v>
      </c>
      <c r="F177" s="8">
        <v>7.5</v>
      </c>
      <c r="G177" s="14">
        <f>I177-1</f>
        <v>134</v>
      </c>
      <c r="H177" s="16">
        <v>0.13</v>
      </c>
      <c r="I177" s="48">
        <v>135</v>
      </c>
      <c r="J177" s="43"/>
      <c r="K177" s="47">
        <f t="shared" si="51"/>
        <v>0</v>
      </c>
      <c r="L177" s="18">
        <f t="shared" si="38"/>
        <v>0</v>
      </c>
      <c r="M177" s="46">
        <f t="shared" si="52"/>
        <v>0</v>
      </c>
      <c r="N177" s="19">
        <f t="shared" si="53"/>
        <v>0</v>
      </c>
    </row>
    <row r="178" s="4" customFormat="1" spans="1:14">
      <c r="A178" s="13"/>
      <c r="B178" s="20" t="s">
        <v>296</v>
      </c>
      <c r="C178" s="9" t="s">
        <v>101</v>
      </c>
      <c r="D178" s="14" t="s">
        <v>282</v>
      </c>
      <c r="E178" s="15" t="s">
        <v>283</v>
      </c>
      <c r="F178" s="8">
        <v>8</v>
      </c>
      <c r="G178" s="14">
        <f>I178-1</f>
        <v>150.2</v>
      </c>
      <c r="H178" s="16">
        <v>0.13</v>
      </c>
      <c r="I178" s="17">
        <v>151.2</v>
      </c>
      <c r="J178" s="9"/>
      <c r="K178" s="18">
        <f t="shared" si="51"/>
        <v>0</v>
      </c>
      <c r="L178" s="18">
        <f t="shared" si="38"/>
        <v>0</v>
      </c>
      <c r="M178" s="17">
        <f t="shared" si="52"/>
        <v>0</v>
      </c>
      <c r="N178" s="19">
        <f t="shared" si="53"/>
        <v>0</v>
      </c>
    </row>
    <row r="179" s="4" customFormat="1" spans="1:14">
      <c r="A179" s="27"/>
      <c r="B179" s="13" t="s">
        <v>308</v>
      </c>
      <c r="C179" s="9" t="s">
        <v>101</v>
      </c>
      <c r="D179" s="14" t="s">
        <v>282</v>
      </c>
      <c r="E179" s="15" t="s">
        <v>208</v>
      </c>
      <c r="F179" s="8">
        <v>7.5</v>
      </c>
      <c r="G179" s="14">
        <f>I179-1</f>
        <v>134</v>
      </c>
      <c r="H179" s="16">
        <v>0.13</v>
      </c>
      <c r="I179" s="17">
        <v>135</v>
      </c>
      <c r="J179" s="9"/>
      <c r="K179" s="47">
        <f t="shared" si="51"/>
        <v>0</v>
      </c>
      <c r="L179" s="18">
        <f t="shared" si="38"/>
        <v>0</v>
      </c>
      <c r="M179" s="46">
        <f t="shared" si="52"/>
        <v>0</v>
      </c>
      <c r="N179" s="19">
        <f t="shared" si="53"/>
        <v>0</v>
      </c>
    </row>
    <row r="180" s="4" customFormat="1" spans="1:14">
      <c r="A180" s="27"/>
      <c r="B180" s="13" t="s">
        <v>298</v>
      </c>
      <c r="C180" s="9" t="s">
        <v>101</v>
      </c>
      <c r="D180" s="14" t="s">
        <v>282</v>
      </c>
      <c r="E180" s="15" t="s">
        <v>208</v>
      </c>
      <c r="F180" s="8">
        <v>10.5</v>
      </c>
      <c r="G180" s="14">
        <f>I180-1</f>
        <v>177.2</v>
      </c>
      <c r="H180" s="16">
        <v>0.13</v>
      </c>
      <c r="I180" s="17">
        <v>178.2</v>
      </c>
      <c r="J180" s="9"/>
      <c r="K180" s="47">
        <f t="shared" si="51"/>
        <v>0</v>
      </c>
      <c r="L180" s="18">
        <f t="shared" si="38"/>
        <v>0</v>
      </c>
      <c r="M180" s="46">
        <f t="shared" si="52"/>
        <v>0</v>
      </c>
      <c r="N180" s="19">
        <f t="shared" si="53"/>
        <v>0</v>
      </c>
    </row>
    <row r="181" s="4" customFormat="1" spans="1:14">
      <c r="A181" s="27"/>
      <c r="B181" s="27"/>
      <c r="C181" s="27"/>
      <c r="D181" s="27"/>
      <c r="E181" s="27"/>
      <c r="F181" s="43"/>
      <c r="G181" s="28"/>
      <c r="H181" s="44"/>
      <c r="I181" s="17"/>
      <c r="J181" s="9"/>
      <c r="K181" s="18"/>
      <c r="L181" s="18">
        <f t="shared" si="38"/>
        <v>0</v>
      </c>
      <c r="M181" s="17"/>
      <c r="N181" s="19">
        <f t="shared" si="53"/>
        <v>0</v>
      </c>
    </row>
    <row r="182" s="4" customFormat="1" spans="1:14">
      <c r="A182" s="27"/>
      <c r="B182" s="11" t="s">
        <v>309</v>
      </c>
      <c r="C182" s="11"/>
      <c r="D182" s="11"/>
      <c r="E182" s="11"/>
      <c r="F182" s="12"/>
      <c r="G182" s="28"/>
      <c r="H182" s="44"/>
      <c r="I182" s="17"/>
      <c r="J182" s="9"/>
      <c r="K182" s="18"/>
      <c r="L182" s="18">
        <f t="shared" si="38"/>
        <v>0</v>
      </c>
      <c r="M182" s="17"/>
      <c r="N182" s="19">
        <f t="shared" si="53"/>
        <v>0</v>
      </c>
    </row>
    <row r="183" spans="1:14">
      <c r="B183" s="49" t="s">
        <v>310</v>
      </c>
      <c r="C183" s="9" t="s">
        <v>94</v>
      </c>
      <c r="D183" s="14" t="s">
        <v>286</v>
      </c>
      <c r="E183" s="50">
        <v>1000</v>
      </c>
      <c r="F183" s="8">
        <v>8</v>
      </c>
      <c r="G183" s="14">
        <v>90</v>
      </c>
      <c r="H183" s="16">
        <v>0.08</v>
      </c>
      <c r="I183" s="17">
        <f t="shared" ref="I183:I187" si="54">G183*(1+H183)</f>
        <v>97.2</v>
      </c>
      <c r="J183" s="9"/>
      <c r="K183" s="18">
        <f t="shared" ref="K183:K193" si="55">J183*F183</f>
        <v>0</v>
      </c>
      <c r="L183" s="18">
        <f t="shared" si="38"/>
        <v>0</v>
      </c>
      <c r="M183" s="17">
        <f t="shared" ref="M183:M193" si="56">J183*I183</f>
        <v>0</v>
      </c>
      <c r="N183" s="19">
        <f t="shared" si="53"/>
        <v>0</v>
      </c>
    </row>
    <row r="184" spans="1:14">
      <c r="B184" s="49" t="s">
        <v>311</v>
      </c>
      <c r="C184" s="9" t="s">
        <v>94</v>
      </c>
      <c r="D184" s="14" t="s">
        <v>286</v>
      </c>
      <c r="E184" s="50">
        <v>1000</v>
      </c>
      <c r="F184" s="8">
        <v>8</v>
      </c>
      <c r="G184" s="14">
        <v>92</v>
      </c>
      <c r="H184" s="16">
        <v>0.08</v>
      </c>
      <c r="I184" s="17">
        <f t="shared" si="54"/>
        <v>99.36</v>
      </c>
      <c r="J184" s="9"/>
      <c r="K184" s="18">
        <f t="shared" si="55"/>
        <v>0</v>
      </c>
      <c r="L184" s="18">
        <f t="shared" ref="L184:L191" si="57">K184+J184/2</f>
        <v>0</v>
      </c>
      <c r="M184" s="17">
        <f t="shared" si="56"/>
        <v>0</v>
      </c>
      <c r="N184" s="19">
        <f t="shared" si="53"/>
        <v>0</v>
      </c>
    </row>
    <row r="185" spans="1:14">
      <c r="B185" s="49" t="s">
        <v>312</v>
      </c>
      <c r="C185" s="9" t="s">
        <v>94</v>
      </c>
      <c r="D185" s="14" t="s">
        <v>286</v>
      </c>
      <c r="E185" s="50">
        <v>1000</v>
      </c>
      <c r="F185" s="8">
        <v>7</v>
      </c>
      <c r="G185" s="14">
        <v>87</v>
      </c>
      <c r="H185" s="16">
        <v>0.08</v>
      </c>
      <c r="I185" s="17">
        <f t="shared" si="54"/>
        <v>93.96</v>
      </c>
      <c r="J185" s="9"/>
      <c r="K185" s="18">
        <f t="shared" si="55"/>
        <v>0</v>
      </c>
      <c r="L185" s="18">
        <f t="shared" si="57"/>
        <v>0</v>
      </c>
      <c r="M185" s="17">
        <f t="shared" si="56"/>
        <v>0</v>
      </c>
      <c r="N185" s="19">
        <f t="shared" si="53"/>
        <v>0</v>
      </c>
    </row>
    <row r="186" spans="1:14">
      <c r="B186" s="11" t="s">
        <v>313</v>
      </c>
      <c r="C186" s="11"/>
      <c r="D186" s="11"/>
      <c r="E186" s="11"/>
      <c r="F186" s="12"/>
      <c r="G186" s="14"/>
      <c r="H186" s="16"/>
      <c r="I186" s="17"/>
      <c r="J186" s="9"/>
      <c r="K186" s="18"/>
      <c r="L186" s="18">
        <f t="shared" si="57"/>
        <v>0</v>
      </c>
      <c r="M186" s="17"/>
      <c r="N186" s="19"/>
    </row>
    <row r="187" spans="1:14">
      <c r="B187" s="49" t="s">
        <v>314</v>
      </c>
      <c r="C187" s="9" t="s">
        <v>93</v>
      </c>
      <c r="D187" s="14" t="s">
        <v>305</v>
      </c>
      <c r="E187" s="50">
        <v>300</v>
      </c>
      <c r="F187" s="8">
        <v>4.56</v>
      </c>
      <c r="G187" s="14">
        <v>60.7</v>
      </c>
      <c r="H187" s="16">
        <v>0.1</v>
      </c>
      <c r="I187" s="17">
        <v>61.7</v>
      </c>
      <c r="J187" s="9"/>
      <c r="K187" s="18">
        <f t="shared" si="55"/>
        <v>0</v>
      </c>
      <c r="L187" s="18">
        <f t="shared" si="57"/>
        <v>0</v>
      </c>
      <c r="M187" s="17">
        <f t="shared" si="56"/>
        <v>0</v>
      </c>
      <c r="N187" s="19">
        <f>M187+J187</f>
        <v>0</v>
      </c>
    </row>
    <row r="188" spans="1:14">
      <c r="B188" s="49" t="s">
        <v>315</v>
      </c>
      <c r="C188" s="9" t="s">
        <v>93</v>
      </c>
      <c r="D188" s="14" t="s">
        <v>305</v>
      </c>
      <c r="E188" s="50">
        <v>300</v>
      </c>
      <c r="F188" s="8">
        <v>4.6</v>
      </c>
      <c r="G188" s="14">
        <v>60.7</v>
      </c>
      <c r="H188" s="16">
        <v>0.1</v>
      </c>
      <c r="I188" s="17">
        <v>61.55</v>
      </c>
      <c r="J188" s="9"/>
      <c r="K188" s="18">
        <f t="shared" si="55"/>
        <v>0</v>
      </c>
      <c r="L188" s="18">
        <f t="shared" si="57"/>
        <v>0</v>
      </c>
      <c r="M188" s="17">
        <f t="shared" si="56"/>
        <v>0</v>
      </c>
      <c r="N188" s="19">
        <f>M188+J188</f>
        <v>0</v>
      </c>
    </row>
    <row r="189" spans="1:14">
      <c r="B189" s="49" t="s">
        <v>316</v>
      </c>
      <c r="C189" s="9" t="s">
        <v>93</v>
      </c>
      <c r="D189" s="14" t="s">
        <v>305</v>
      </c>
      <c r="E189" s="50">
        <v>300</v>
      </c>
      <c r="F189" s="8">
        <v>4.65</v>
      </c>
      <c r="G189" s="14">
        <v>61.5</v>
      </c>
      <c r="H189" s="16">
        <v>0.1</v>
      </c>
      <c r="I189" s="17">
        <f>G189*(1+H189)</f>
        <v>67.65</v>
      </c>
      <c r="J189" s="9"/>
      <c r="K189" s="18">
        <f t="shared" si="55"/>
        <v>0</v>
      </c>
      <c r="L189" s="18">
        <f t="shared" si="57"/>
        <v>0</v>
      </c>
      <c r="M189" s="17">
        <f t="shared" si="56"/>
        <v>0</v>
      </c>
      <c r="N189" s="19">
        <f t="shared" ref="N189:N191" si="58">M189+J189</f>
        <v>0</v>
      </c>
    </row>
    <row r="190" spans="1:14">
      <c r="B190" s="49" t="s">
        <v>317</v>
      </c>
      <c r="C190" s="9" t="s">
        <v>93</v>
      </c>
      <c r="D190" s="14" t="s">
        <v>305</v>
      </c>
      <c r="E190" s="50">
        <v>300</v>
      </c>
      <c r="F190" s="8">
        <v>5.15</v>
      </c>
      <c r="G190" s="14">
        <v>64.5</v>
      </c>
      <c r="H190" s="16">
        <v>0.1</v>
      </c>
      <c r="I190" s="17">
        <f>G190*(1+H190)</f>
        <v>70.95</v>
      </c>
      <c r="J190" s="9"/>
      <c r="K190" s="18">
        <f t="shared" si="55"/>
        <v>0</v>
      </c>
      <c r="L190" s="18">
        <f t="shared" si="57"/>
        <v>0</v>
      </c>
      <c r="M190" s="17">
        <f t="shared" si="56"/>
        <v>0</v>
      </c>
      <c r="N190" s="19">
        <f t="shared" si="58"/>
        <v>0</v>
      </c>
    </row>
    <row r="191" customFormat="1" spans="1:14">
      <c r="A191" s="2"/>
      <c r="B191" s="49" t="s">
        <v>318</v>
      </c>
      <c r="C191" s="9" t="s">
        <v>93</v>
      </c>
      <c r="D191" s="14" t="s">
        <v>305</v>
      </c>
      <c r="E191" s="50">
        <v>300</v>
      </c>
      <c r="F191" s="8">
        <v>5.7</v>
      </c>
      <c r="G191" s="14">
        <v>64.5</v>
      </c>
      <c r="H191" s="16">
        <v>0.1</v>
      </c>
      <c r="I191" s="17">
        <f>G191*(1+H191)</f>
        <v>70.95</v>
      </c>
      <c r="J191" s="9"/>
      <c r="K191" s="18">
        <f t="shared" si="55"/>
        <v>0</v>
      </c>
      <c r="L191" s="18">
        <f t="shared" si="57"/>
        <v>0</v>
      </c>
      <c r="M191" s="17">
        <f t="shared" si="56"/>
        <v>0</v>
      </c>
      <c r="N191" s="19">
        <f t="shared" si="58"/>
        <v>0</v>
      </c>
    </row>
    <row r="192" s="4" customFormat="1" spans="1:14">
      <c r="A192" s="27"/>
      <c r="B192" s="45" t="s">
        <v>319</v>
      </c>
      <c r="C192" s="9" t="s">
        <v>93</v>
      </c>
      <c r="D192" s="14" t="s">
        <v>305</v>
      </c>
      <c r="E192" s="50">
        <v>300</v>
      </c>
      <c r="F192" s="8">
        <v>5.9</v>
      </c>
      <c r="G192" s="28">
        <v>73.9</v>
      </c>
      <c r="H192" s="44">
        <v>0.1</v>
      </c>
      <c r="I192" s="17">
        <v>74.9</v>
      </c>
      <c r="J192" s="9"/>
      <c r="K192" s="18">
        <f t="shared" si="55"/>
        <v>0</v>
      </c>
      <c r="L192" s="18">
        <f t="shared" ref="L192:L216" si="59">K192+J192/2</f>
        <v>0</v>
      </c>
      <c r="M192" s="17">
        <f t="shared" si="56"/>
        <v>0</v>
      </c>
      <c r="N192" s="19">
        <f t="shared" ref="N192:N216" si="60">M192+J192</f>
        <v>0</v>
      </c>
    </row>
    <row r="193" s="4" customFormat="1" spans="1:14">
      <c r="A193" s="27"/>
      <c r="B193" s="2" t="s">
        <v>320</v>
      </c>
      <c r="C193" s="9" t="s">
        <v>93</v>
      </c>
      <c r="D193" s="14" t="s">
        <v>307</v>
      </c>
      <c r="E193" s="50">
        <v>300</v>
      </c>
      <c r="F193" s="8">
        <v>4.7</v>
      </c>
      <c r="G193" s="28">
        <v>94.5</v>
      </c>
      <c r="H193" s="44">
        <v>0.1</v>
      </c>
      <c r="I193" s="17">
        <f>G193*(1+H193)</f>
        <v>103.95</v>
      </c>
      <c r="J193" s="9"/>
      <c r="K193" s="18">
        <f t="shared" si="55"/>
        <v>0</v>
      </c>
      <c r="L193" s="18">
        <f t="shared" si="59"/>
        <v>0</v>
      </c>
      <c r="M193" s="17">
        <f t="shared" si="56"/>
        <v>0</v>
      </c>
      <c r="N193" s="19">
        <f t="shared" si="60"/>
        <v>0</v>
      </c>
    </row>
    <row r="194" s="4" customFormat="1" spans="1:14">
      <c r="A194" s="27"/>
      <c r="B194" s="28"/>
      <c r="C194" s="28"/>
      <c r="D194" s="28"/>
      <c r="E194" s="28"/>
      <c r="F194" s="28"/>
      <c r="G194" s="28"/>
      <c r="H194" s="44"/>
      <c r="I194" s="17"/>
      <c r="J194" s="9"/>
      <c r="K194" s="18"/>
      <c r="L194" s="18">
        <f t="shared" si="59"/>
        <v>0</v>
      </c>
      <c r="M194" s="17"/>
      <c r="N194" s="19">
        <f t="shared" si="60"/>
        <v>0</v>
      </c>
    </row>
    <row r="195" s="4" customFormat="1" spans="1:14">
      <c r="A195" s="27"/>
      <c r="B195" s="11" t="s">
        <v>321</v>
      </c>
      <c r="C195" s="51"/>
      <c r="D195" s="51"/>
      <c r="E195" s="51"/>
      <c r="F195" s="52"/>
      <c r="G195" s="28"/>
      <c r="H195" s="44"/>
      <c r="I195" s="17"/>
      <c r="J195" s="9"/>
      <c r="K195" s="18"/>
      <c r="L195" s="18">
        <f t="shared" si="59"/>
        <v>0</v>
      </c>
      <c r="M195" s="17"/>
      <c r="N195" s="19">
        <f t="shared" si="60"/>
        <v>0</v>
      </c>
    </row>
    <row r="196" spans="1:14">
      <c r="B196" s="49" t="s">
        <v>322</v>
      </c>
      <c r="C196" s="9" t="s">
        <v>94</v>
      </c>
      <c r="D196" s="14" t="s">
        <v>323</v>
      </c>
      <c r="E196" s="50">
        <v>500</v>
      </c>
      <c r="F196" s="8">
        <v>5</v>
      </c>
      <c r="G196" s="14">
        <v>67.5</v>
      </c>
      <c r="H196" s="16">
        <v>0.08</v>
      </c>
      <c r="I196" s="17">
        <f t="shared" ref="I196:I216" si="61">G196*(1+H196)</f>
        <v>72.9</v>
      </c>
      <c r="J196" s="9"/>
      <c r="K196" s="18">
        <f t="shared" ref="K196:K216" si="62">J196*F196</f>
        <v>0</v>
      </c>
      <c r="L196" s="18">
        <f t="shared" si="59"/>
        <v>0</v>
      </c>
      <c r="M196" s="17">
        <f t="shared" ref="M196:M216" si="63">J196*I196</f>
        <v>0</v>
      </c>
      <c r="N196" s="19">
        <f t="shared" si="60"/>
        <v>0</v>
      </c>
    </row>
    <row r="197" spans="1:14">
      <c r="B197" s="49" t="s">
        <v>324</v>
      </c>
      <c r="C197" s="9" t="s">
        <v>94</v>
      </c>
      <c r="D197" s="14" t="s">
        <v>323</v>
      </c>
      <c r="E197" s="50">
        <v>500</v>
      </c>
      <c r="F197" s="8">
        <v>6.2</v>
      </c>
      <c r="G197" s="14">
        <v>79</v>
      </c>
      <c r="H197" s="16">
        <v>0.08</v>
      </c>
      <c r="I197" s="17">
        <f t="shared" si="61"/>
        <v>85.32</v>
      </c>
      <c r="J197" s="9"/>
      <c r="K197" s="18">
        <f t="shared" si="62"/>
        <v>0</v>
      </c>
      <c r="L197" s="18">
        <f t="shared" si="59"/>
        <v>0</v>
      </c>
      <c r="M197" s="17">
        <f t="shared" si="63"/>
        <v>0</v>
      </c>
      <c r="N197" s="19">
        <f t="shared" si="60"/>
        <v>0</v>
      </c>
    </row>
    <row r="198" spans="1:14">
      <c r="B198" s="50" t="s">
        <v>325</v>
      </c>
      <c r="C198" s="9" t="s">
        <v>94</v>
      </c>
      <c r="D198" s="14" t="s">
        <v>323</v>
      </c>
      <c r="E198" s="50">
        <v>500</v>
      </c>
      <c r="F198" s="8"/>
      <c r="G198" s="14"/>
      <c r="H198" s="16">
        <v>0.08</v>
      </c>
      <c r="I198" s="17"/>
      <c r="J198" s="9"/>
      <c r="K198" s="18">
        <f t="shared" si="62"/>
        <v>0</v>
      </c>
      <c r="L198" s="18">
        <f t="shared" si="59"/>
        <v>0</v>
      </c>
      <c r="M198" s="17">
        <f t="shared" si="63"/>
        <v>0</v>
      </c>
      <c r="N198" s="19">
        <f t="shared" si="60"/>
        <v>0</v>
      </c>
    </row>
    <row r="199" spans="1:14">
      <c r="B199" s="49" t="s">
        <v>326</v>
      </c>
      <c r="C199" s="9" t="s">
        <v>94</v>
      </c>
      <c r="D199" s="14" t="s">
        <v>323</v>
      </c>
      <c r="E199" s="50">
        <v>500</v>
      </c>
      <c r="F199" s="8">
        <v>6.5</v>
      </c>
      <c r="G199" s="14">
        <v>105</v>
      </c>
      <c r="H199" s="16">
        <v>0.08</v>
      </c>
      <c r="I199" s="17">
        <f t="shared" si="61"/>
        <v>113.4</v>
      </c>
      <c r="J199" s="9"/>
      <c r="K199" s="18">
        <f t="shared" si="62"/>
        <v>0</v>
      </c>
      <c r="L199" s="18">
        <f t="shared" si="59"/>
        <v>0</v>
      </c>
      <c r="M199" s="17">
        <f t="shared" si="63"/>
        <v>0</v>
      </c>
      <c r="N199" s="19">
        <f t="shared" si="60"/>
        <v>0</v>
      </c>
    </row>
    <row r="200" spans="1:14">
      <c r="B200" s="49" t="s">
        <v>327</v>
      </c>
      <c r="C200" s="9" t="s">
        <v>94</v>
      </c>
      <c r="D200" s="14" t="s">
        <v>323</v>
      </c>
      <c r="E200" s="50">
        <v>500</v>
      </c>
      <c r="F200" s="8">
        <v>7.5</v>
      </c>
      <c r="G200" s="14">
        <v>117.5</v>
      </c>
      <c r="H200" s="16">
        <v>0.08</v>
      </c>
      <c r="I200" s="17">
        <f t="shared" si="61"/>
        <v>126.9</v>
      </c>
      <c r="J200" s="9"/>
      <c r="K200" s="18">
        <f t="shared" si="62"/>
        <v>0</v>
      </c>
      <c r="L200" s="18">
        <f t="shared" si="59"/>
        <v>0</v>
      </c>
      <c r="M200" s="17">
        <f t="shared" si="63"/>
        <v>0</v>
      </c>
      <c r="N200" s="19">
        <f t="shared" si="60"/>
        <v>0</v>
      </c>
    </row>
    <row r="201" spans="1:14">
      <c r="B201" s="50" t="s">
        <v>328</v>
      </c>
      <c r="C201" s="9" t="s">
        <v>94</v>
      </c>
      <c r="D201" s="14" t="s">
        <v>323</v>
      </c>
      <c r="E201" s="50">
        <v>500</v>
      </c>
      <c r="F201" s="8">
        <v>8</v>
      </c>
      <c r="G201" s="14">
        <v>122.5</v>
      </c>
      <c r="H201" s="16">
        <v>0.08</v>
      </c>
      <c r="I201" s="17">
        <f t="shared" si="61"/>
        <v>132.3</v>
      </c>
      <c r="J201" s="9"/>
      <c r="K201" s="18">
        <f t="shared" si="62"/>
        <v>0</v>
      </c>
      <c r="L201" s="18">
        <f t="shared" si="59"/>
        <v>0</v>
      </c>
      <c r="M201" s="17">
        <f t="shared" si="63"/>
        <v>0</v>
      </c>
      <c r="N201" s="19">
        <f t="shared" si="60"/>
        <v>0</v>
      </c>
    </row>
    <row r="202" spans="1:14">
      <c r="B202" s="50" t="s">
        <v>329</v>
      </c>
      <c r="C202" s="9" t="s">
        <v>94</v>
      </c>
      <c r="D202" s="50" t="s">
        <v>330</v>
      </c>
      <c r="E202" s="50">
        <v>5000</v>
      </c>
      <c r="F202" s="8">
        <v>6</v>
      </c>
      <c r="G202" s="14">
        <v>100</v>
      </c>
      <c r="H202" s="16">
        <v>0.08</v>
      </c>
      <c r="I202" s="17">
        <f t="shared" si="61"/>
        <v>108</v>
      </c>
      <c r="J202" s="9"/>
      <c r="K202" s="18">
        <f t="shared" si="62"/>
        <v>0</v>
      </c>
      <c r="L202" s="18">
        <f t="shared" si="59"/>
        <v>0</v>
      </c>
      <c r="M202" s="17">
        <f t="shared" si="63"/>
        <v>0</v>
      </c>
      <c r="N202" s="19">
        <f t="shared" si="60"/>
        <v>0</v>
      </c>
    </row>
    <row r="203" spans="1:14">
      <c r="B203" s="7" t="s">
        <v>331</v>
      </c>
      <c r="C203" s="9" t="s">
        <v>94</v>
      </c>
      <c r="D203" s="50" t="s">
        <v>330</v>
      </c>
      <c r="E203" s="50">
        <v>5000</v>
      </c>
      <c r="F203" s="8">
        <v>7</v>
      </c>
      <c r="G203" s="14">
        <v>145</v>
      </c>
      <c r="H203" s="16">
        <v>0.08</v>
      </c>
      <c r="I203" s="17">
        <f t="shared" si="61"/>
        <v>156.6</v>
      </c>
      <c r="J203" s="9"/>
      <c r="K203" s="18">
        <f t="shared" si="62"/>
        <v>0</v>
      </c>
      <c r="L203" s="18">
        <f t="shared" si="59"/>
        <v>0</v>
      </c>
      <c r="M203" s="17">
        <f t="shared" si="63"/>
        <v>0</v>
      </c>
      <c r="N203" s="19">
        <f t="shared" si="60"/>
        <v>0</v>
      </c>
    </row>
    <row r="204" spans="1:14">
      <c r="B204" s="50" t="s">
        <v>332</v>
      </c>
      <c r="C204" s="9" t="s">
        <v>94</v>
      </c>
      <c r="D204" s="50" t="s">
        <v>330</v>
      </c>
      <c r="E204" s="50">
        <v>5000</v>
      </c>
      <c r="F204" s="8">
        <v>8</v>
      </c>
      <c r="G204" s="14">
        <v>135</v>
      </c>
      <c r="H204" s="16">
        <v>0.08</v>
      </c>
      <c r="I204" s="17">
        <f t="shared" si="61"/>
        <v>145.8</v>
      </c>
      <c r="J204" s="9"/>
      <c r="K204" s="18">
        <f t="shared" si="62"/>
        <v>0</v>
      </c>
      <c r="L204" s="18">
        <f t="shared" si="59"/>
        <v>0</v>
      </c>
      <c r="M204" s="17">
        <f t="shared" si="63"/>
        <v>0</v>
      </c>
      <c r="N204" s="19">
        <f t="shared" si="60"/>
        <v>0</v>
      </c>
    </row>
    <row r="205" spans="1:14">
      <c r="A205" s="7"/>
      <c r="B205" s="7" t="s">
        <v>333</v>
      </c>
      <c r="C205" s="9" t="s">
        <v>94</v>
      </c>
      <c r="D205" s="50" t="s">
        <v>330</v>
      </c>
      <c r="E205" s="50">
        <v>5000</v>
      </c>
      <c r="F205" s="8">
        <v>7.7</v>
      </c>
      <c r="G205" s="14">
        <v>175</v>
      </c>
      <c r="H205" s="16">
        <v>0.08</v>
      </c>
      <c r="I205" s="17">
        <f t="shared" si="61"/>
        <v>189</v>
      </c>
      <c r="J205" s="9"/>
      <c r="K205" s="18">
        <f t="shared" si="62"/>
        <v>0</v>
      </c>
      <c r="L205" s="18">
        <f t="shared" si="59"/>
        <v>0</v>
      </c>
      <c r="M205" s="17">
        <f t="shared" si="63"/>
        <v>0</v>
      </c>
      <c r="N205" s="19">
        <f t="shared" si="60"/>
        <v>0</v>
      </c>
    </row>
    <row r="206" spans="1:14">
      <c r="B206" s="50" t="s">
        <v>334</v>
      </c>
      <c r="C206" s="9" t="s">
        <v>94</v>
      </c>
      <c r="D206" s="50" t="s">
        <v>330</v>
      </c>
      <c r="E206" s="50">
        <v>5000</v>
      </c>
      <c r="F206" s="8">
        <v>9.4</v>
      </c>
      <c r="G206" s="14">
        <v>160</v>
      </c>
      <c r="H206" s="16">
        <v>0.08</v>
      </c>
      <c r="I206" s="17">
        <f t="shared" si="61"/>
        <v>172.8</v>
      </c>
      <c r="J206" s="9"/>
      <c r="K206" s="18">
        <f t="shared" si="62"/>
        <v>0</v>
      </c>
      <c r="L206" s="18">
        <f t="shared" si="59"/>
        <v>0</v>
      </c>
      <c r="M206" s="17">
        <f t="shared" si="63"/>
        <v>0</v>
      </c>
      <c r="N206" s="19">
        <f t="shared" si="60"/>
        <v>0</v>
      </c>
    </row>
    <row r="207" spans="1:14">
      <c r="B207" s="53" t="s">
        <v>335</v>
      </c>
      <c r="C207" s="9" t="s">
        <v>94</v>
      </c>
      <c r="D207" s="50" t="s">
        <v>330</v>
      </c>
      <c r="E207" s="50">
        <v>5000</v>
      </c>
      <c r="F207" s="8">
        <v>10</v>
      </c>
      <c r="G207" s="14">
        <v>190</v>
      </c>
      <c r="H207" s="16">
        <v>0.08</v>
      </c>
      <c r="I207" s="17">
        <f t="shared" si="61"/>
        <v>205.2</v>
      </c>
      <c r="J207" s="9"/>
      <c r="K207" s="18">
        <f t="shared" si="62"/>
        <v>0</v>
      </c>
      <c r="L207" s="18">
        <f t="shared" si="59"/>
        <v>0</v>
      </c>
      <c r="M207" s="17">
        <f t="shared" si="63"/>
        <v>0</v>
      </c>
      <c r="N207" s="19">
        <f t="shared" si="60"/>
        <v>0</v>
      </c>
    </row>
    <row r="208" spans="1:14">
      <c r="B208" s="50" t="s">
        <v>336</v>
      </c>
      <c r="C208" s="9" t="s">
        <v>94</v>
      </c>
      <c r="D208" s="50" t="s">
        <v>330</v>
      </c>
      <c r="E208" s="50">
        <v>1000</v>
      </c>
      <c r="F208" s="8">
        <v>2.5</v>
      </c>
      <c r="G208" s="14">
        <v>54</v>
      </c>
      <c r="H208" s="16">
        <v>0.08</v>
      </c>
      <c r="I208" s="17">
        <f t="shared" si="61"/>
        <v>58.32</v>
      </c>
      <c r="J208" s="9"/>
      <c r="K208" s="18">
        <f t="shared" si="62"/>
        <v>0</v>
      </c>
      <c r="L208" s="18">
        <f t="shared" si="59"/>
        <v>0</v>
      </c>
      <c r="M208" s="17">
        <f t="shared" si="63"/>
        <v>0</v>
      </c>
      <c r="N208" s="19">
        <f t="shared" si="60"/>
        <v>0</v>
      </c>
    </row>
    <row r="209" spans="1:14">
      <c r="B209" s="49" t="s">
        <v>337</v>
      </c>
      <c r="C209" s="9" t="s">
        <v>94</v>
      </c>
      <c r="D209" s="50" t="s">
        <v>330</v>
      </c>
      <c r="E209" s="50">
        <v>1000</v>
      </c>
      <c r="F209" s="8">
        <v>4</v>
      </c>
      <c r="G209" s="14">
        <v>58</v>
      </c>
      <c r="H209" s="16">
        <v>0.08</v>
      </c>
      <c r="I209" s="17">
        <f t="shared" si="61"/>
        <v>62.64</v>
      </c>
      <c r="J209" s="9"/>
      <c r="K209" s="18">
        <f t="shared" si="62"/>
        <v>0</v>
      </c>
      <c r="L209" s="18">
        <f t="shared" si="59"/>
        <v>0</v>
      </c>
      <c r="M209" s="17">
        <f t="shared" si="63"/>
        <v>0</v>
      </c>
      <c r="N209" s="19">
        <f t="shared" si="60"/>
        <v>0</v>
      </c>
    </row>
    <row r="210" spans="1:14">
      <c r="A210" s="7"/>
      <c r="B210" s="7" t="s">
        <v>338</v>
      </c>
      <c r="C210" s="9" t="s">
        <v>94</v>
      </c>
      <c r="D210" s="50" t="s">
        <v>330</v>
      </c>
      <c r="E210" s="50">
        <v>1000</v>
      </c>
      <c r="F210" s="8">
        <v>3.3</v>
      </c>
      <c r="G210" s="14">
        <v>63</v>
      </c>
      <c r="H210" s="16">
        <v>0.08</v>
      </c>
      <c r="I210" s="17">
        <f t="shared" si="61"/>
        <v>68.04</v>
      </c>
      <c r="J210" s="9"/>
      <c r="K210" s="18">
        <f t="shared" si="62"/>
        <v>0</v>
      </c>
      <c r="L210" s="18">
        <f t="shared" si="59"/>
        <v>0</v>
      </c>
      <c r="M210" s="17">
        <f t="shared" si="63"/>
        <v>0</v>
      </c>
      <c r="N210" s="19">
        <f t="shared" si="60"/>
        <v>0</v>
      </c>
    </row>
    <row r="211" spans="1:14">
      <c r="B211" s="50" t="s">
        <v>339</v>
      </c>
      <c r="C211" s="9" t="s">
        <v>94</v>
      </c>
      <c r="D211" s="50" t="s">
        <v>330</v>
      </c>
      <c r="E211" s="50">
        <v>1000</v>
      </c>
      <c r="F211" s="8"/>
      <c r="G211" s="14"/>
      <c r="H211" s="16"/>
      <c r="I211" s="17"/>
      <c r="J211" s="9"/>
      <c r="K211" s="18">
        <f t="shared" si="62"/>
        <v>0</v>
      </c>
      <c r="L211" s="18">
        <f t="shared" si="59"/>
        <v>0</v>
      </c>
      <c r="M211" s="17">
        <f t="shared" si="63"/>
        <v>0</v>
      </c>
      <c r="N211" s="19">
        <f t="shared" si="60"/>
        <v>0</v>
      </c>
    </row>
    <row r="212" spans="1:14">
      <c r="B212" s="50" t="s">
        <v>340</v>
      </c>
      <c r="C212" s="9" t="s">
        <v>94</v>
      </c>
      <c r="D212" s="50" t="s">
        <v>330</v>
      </c>
      <c r="E212" s="50">
        <v>1000</v>
      </c>
      <c r="F212" s="8"/>
      <c r="G212" s="14"/>
      <c r="H212" s="16"/>
      <c r="I212" s="17"/>
      <c r="J212" s="9"/>
      <c r="K212" s="18">
        <f t="shared" si="62"/>
        <v>0</v>
      </c>
      <c r="L212" s="18">
        <f t="shared" si="59"/>
        <v>0</v>
      </c>
      <c r="M212" s="17">
        <f t="shared" si="63"/>
        <v>0</v>
      </c>
      <c r="N212" s="19">
        <f t="shared" si="60"/>
        <v>0</v>
      </c>
    </row>
    <row r="213" spans="1:14">
      <c r="B213" s="49" t="s">
        <v>341</v>
      </c>
      <c r="C213" s="9" t="s">
        <v>342</v>
      </c>
      <c r="D213" s="14" t="s">
        <v>343</v>
      </c>
      <c r="E213" s="50">
        <v>2000</v>
      </c>
      <c r="F213" s="8">
        <v>5</v>
      </c>
      <c r="G213" s="14">
        <v>140</v>
      </c>
      <c r="H213" s="16">
        <v>0.08</v>
      </c>
      <c r="I213" s="17">
        <f t="shared" si="61"/>
        <v>151.2</v>
      </c>
      <c r="J213" s="9"/>
      <c r="K213" s="18">
        <f t="shared" si="62"/>
        <v>0</v>
      </c>
      <c r="L213" s="18">
        <f t="shared" si="59"/>
        <v>0</v>
      </c>
      <c r="M213" s="17">
        <f t="shared" si="63"/>
        <v>0</v>
      </c>
      <c r="N213" s="19">
        <f t="shared" si="60"/>
        <v>0</v>
      </c>
    </row>
    <row r="214" spans="1:14">
      <c r="B214" s="49" t="s">
        <v>341</v>
      </c>
      <c r="C214" s="9" t="s">
        <v>344</v>
      </c>
      <c r="D214" s="14" t="s">
        <v>343</v>
      </c>
      <c r="E214" s="50">
        <v>2000</v>
      </c>
      <c r="F214" s="8">
        <v>5</v>
      </c>
      <c r="G214" s="14">
        <v>140</v>
      </c>
      <c r="H214" s="16">
        <v>0.08</v>
      </c>
      <c r="I214" s="17">
        <f t="shared" si="61"/>
        <v>151.2</v>
      </c>
      <c r="J214" s="9"/>
      <c r="K214" s="18">
        <f t="shared" si="62"/>
        <v>0</v>
      </c>
      <c r="L214" s="18">
        <f t="shared" si="59"/>
        <v>0</v>
      </c>
      <c r="M214" s="17">
        <f t="shared" si="63"/>
        <v>0</v>
      </c>
      <c r="N214" s="19">
        <f t="shared" si="60"/>
        <v>0</v>
      </c>
    </row>
    <row r="215" spans="1:14">
      <c r="B215" s="50" t="s">
        <v>341</v>
      </c>
      <c r="C215" s="9" t="s">
        <v>96</v>
      </c>
      <c r="D215" s="14" t="s">
        <v>343</v>
      </c>
      <c r="E215" s="50">
        <v>1000</v>
      </c>
      <c r="F215" s="8">
        <v>2.5</v>
      </c>
      <c r="G215" s="14">
        <v>70</v>
      </c>
      <c r="H215" s="16">
        <v>0.08</v>
      </c>
      <c r="I215" s="17">
        <f t="shared" si="61"/>
        <v>75.6</v>
      </c>
      <c r="J215" s="9"/>
      <c r="K215" s="18">
        <f t="shared" si="62"/>
        <v>0</v>
      </c>
      <c r="L215" s="18">
        <f t="shared" si="59"/>
        <v>0</v>
      </c>
      <c r="M215" s="17">
        <f t="shared" si="63"/>
        <v>0</v>
      </c>
      <c r="N215" s="19">
        <f t="shared" si="60"/>
        <v>0</v>
      </c>
    </row>
    <row r="216" spans="1:14">
      <c r="B216" s="50" t="s">
        <v>301</v>
      </c>
      <c r="C216" s="9" t="s">
        <v>96</v>
      </c>
      <c r="D216" s="14" t="s">
        <v>288</v>
      </c>
      <c r="E216" s="50">
        <v>2000</v>
      </c>
      <c r="F216" s="8">
        <v>4</v>
      </c>
      <c r="G216" s="14">
        <v>101</v>
      </c>
      <c r="H216" s="16">
        <v>0.13</v>
      </c>
      <c r="I216" s="17">
        <f t="shared" si="61"/>
        <v>114.13</v>
      </c>
      <c r="J216" s="9"/>
      <c r="K216" s="18">
        <f t="shared" si="62"/>
        <v>0</v>
      </c>
      <c r="L216" s="18">
        <f t="shared" si="59"/>
        <v>0</v>
      </c>
      <c r="M216" s="17">
        <f t="shared" si="63"/>
        <v>0</v>
      </c>
      <c r="N216" s="19">
        <f t="shared" si="60"/>
        <v>0</v>
      </c>
    </row>
    <row r="217" spans="1:14">
      <c r="F217" s="8"/>
      <c r="G217" s="14"/>
      <c r="H217" s="16"/>
      <c r="J217" s="8" t="s">
        <v>345</v>
      </c>
      <c r="K217" s="18">
        <f>SUM(J6:J215)</f>
        <v>1</v>
      </c>
      <c r="L217" s="7" t="s">
        <v>346</v>
      </c>
    </row>
    <row r="218" spans="1:14">
      <c r="A218" s="54"/>
      <c r="B218" s="54"/>
      <c r="C218" s="54"/>
      <c r="D218" s="54"/>
      <c r="E218" s="54"/>
      <c r="F218" s="8"/>
      <c r="G218" s="14"/>
      <c r="H218" s="16"/>
      <c r="I218" s="54"/>
      <c r="J218" s="50" t="s">
        <v>347</v>
      </c>
      <c r="K218" s="8">
        <f>SUM(K6:K215)</f>
        <v>8.83</v>
      </c>
      <c r="L218" s="7" t="s">
        <v>348</v>
      </c>
    </row>
    <row r="219" spans="1:14">
      <c r="A219" s="54"/>
      <c r="B219" s="54"/>
      <c r="C219" s="54"/>
      <c r="D219" s="54"/>
      <c r="E219" s="54"/>
      <c r="F219" s="54"/>
      <c r="G219" s="14"/>
      <c r="H219" s="16"/>
      <c r="I219" s="54"/>
      <c r="J219" s="50" t="s">
        <v>349</v>
      </c>
      <c r="K219" s="5">
        <f>SUM(L:L)</f>
        <v>9.33</v>
      </c>
      <c r="L219" s="55" t="s">
        <v>348</v>
      </c>
      <c r="M219" s="50"/>
    </row>
    <row r="220" spans="1:14">
      <c r="A220" s="54"/>
      <c r="B220" s="54"/>
      <c r="C220" s="54"/>
      <c r="D220" s="54"/>
      <c r="E220" s="54"/>
      <c r="F220" s="54"/>
      <c r="G220" s="14"/>
      <c r="H220" s="16"/>
      <c r="I220" s="54"/>
      <c r="J220" s="50" t="s">
        <v>350</v>
      </c>
      <c r="K220" s="54">
        <f>SUM(N5:N216)</f>
        <v>82</v>
      </c>
      <c r="L220" s="54"/>
      <c r="M220" s="50"/>
    </row>
    <row r="221" spans="1:14">
      <c r="A221" s="54"/>
      <c r="B221" s="54"/>
      <c r="C221" s="54"/>
      <c r="D221" s="54"/>
      <c r="E221" s="54"/>
      <c r="F221" s="54"/>
      <c r="G221" s="14"/>
      <c r="H221" s="16"/>
      <c r="I221" s="54"/>
      <c r="J221" s="54"/>
      <c r="K221" s="54"/>
      <c r="L221" s="54"/>
      <c r="M221" s="50"/>
    </row>
    <row r="222" spans="1:14">
      <c r="A222" s="54"/>
      <c r="B222" s="54"/>
      <c r="C222" s="54"/>
      <c r="D222" s="54"/>
      <c r="E222" s="54"/>
      <c r="F222" s="54"/>
      <c r="G222" s="14"/>
      <c r="H222" s="16"/>
      <c r="I222" s="54"/>
      <c r="J222" s="54"/>
      <c r="K222" s="54"/>
      <c r="L222" s="54"/>
      <c r="M222" s="50"/>
    </row>
    <row r="223" spans="1:14">
      <c r="A223" s="54"/>
      <c r="B223" s="54"/>
      <c r="C223" s="54"/>
      <c r="D223" s="54"/>
      <c r="E223" s="54"/>
      <c r="F223" s="54"/>
      <c r="G223" s="54"/>
      <c r="H223" s="16"/>
      <c r="I223" s="54"/>
      <c r="J223" s="54"/>
      <c r="K223" s="54"/>
      <c r="L223" s="54"/>
      <c r="M223" s="50"/>
    </row>
    <row r="224" spans="1:14">
      <c r="A224" s="54"/>
      <c r="B224" s="54"/>
      <c r="C224" s="54"/>
      <c r="D224" s="54"/>
      <c r="E224" s="54"/>
      <c r="F224" s="54"/>
      <c r="G224" s="54"/>
      <c r="H224" s="16"/>
      <c r="I224" s="54"/>
      <c r="J224" s="54"/>
      <c r="K224" s="54"/>
      <c r="L224" s="54"/>
      <c r="M224" s="50"/>
    </row>
    <row r="225" spans="1:13">
      <c r="A225" s="54"/>
      <c r="B225" s="54"/>
      <c r="C225" s="54"/>
      <c r="D225" s="54"/>
      <c r="E225" s="54"/>
      <c r="F225" s="54"/>
      <c r="G225" s="54"/>
      <c r="H225" s="16"/>
      <c r="I225" s="54"/>
      <c r="J225" s="54"/>
      <c r="K225" s="54"/>
      <c r="L225" s="54" t="s">
        <v>235</v>
      </c>
      <c r="M225" s="50"/>
    </row>
    <row r="226" spans="1:13">
      <c r="A226" s="54"/>
      <c r="B226" s="54"/>
      <c r="C226" s="54"/>
      <c r="D226" s="54"/>
      <c r="E226" s="54"/>
      <c r="F226" s="54"/>
      <c r="G226" s="54"/>
      <c r="H226" s="54"/>
      <c r="I226" s="54"/>
      <c r="J226" s="54"/>
      <c r="K226" s="54"/>
      <c r="L226" s="54"/>
      <c r="M226" s="50"/>
    </row>
    <row r="227" spans="1:13">
      <c r="A227" s="54"/>
      <c r="B227" s="54"/>
      <c r="C227" s="54"/>
      <c r="D227" s="54"/>
      <c r="E227" s="54"/>
      <c r="F227" s="54"/>
      <c r="G227" s="54"/>
      <c r="H227" s="54"/>
      <c r="I227" s="54"/>
      <c r="J227" s="54"/>
      <c r="K227" s="54"/>
      <c r="L227" s="54"/>
      <c r="M227" s="50"/>
    </row>
    <row r="228" spans="1:13">
      <c r="A228" s="54"/>
      <c r="B228" s="54"/>
      <c r="C228" s="54"/>
      <c r="D228" s="54"/>
      <c r="E228" s="54"/>
      <c r="F228" s="54"/>
      <c r="G228" s="54"/>
      <c r="H228" s="54"/>
      <c r="I228" s="54"/>
      <c r="J228" s="54"/>
      <c r="K228" s="54"/>
      <c r="L228" s="54"/>
      <c r="M228" s="50"/>
    </row>
    <row r="229" spans="1:13">
      <c r="A229" s="54"/>
      <c r="B229" s="54"/>
      <c r="C229" s="54"/>
      <c r="D229" s="54"/>
      <c r="E229" s="54"/>
      <c r="F229" s="54"/>
      <c r="G229" s="54"/>
      <c r="H229" s="54"/>
      <c r="I229" s="54"/>
      <c r="J229" s="54"/>
      <c r="K229" s="54"/>
      <c r="L229" s="54"/>
      <c r="M229" s="50"/>
    </row>
    <row r="231" spans="1:13">
      <c r="B231" s="7"/>
      <c r="C231" s="7"/>
      <c r="D231" s="7"/>
      <c r="E231" s="7"/>
    </row>
    <row r="233" spans="1:13">
      <c r="J233" s="7"/>
    </row>
    <row r="234" spans="1:13">
      <c r="K234" s="2" t="s">
        <v>235</v>
      </c>
    </row>
    <row r="235" spans="1:13">
      <c r="B235" s="7"/>
      <c r="C235" s="7"/>
      <c r="D235" s="7"/>
      <c r="E235" s="7"/>
    </row>
    <row r="248" spans="5:5">
      <c r="E248" s="2" t="s">
        <v>235</v>
      </c>
    </row>
  </sheetData>
  <autoFilter xmlns:etc="http://www.wps.cn/officeDocument/2017/etCustomData" ref="A4:P220" etc:filterBottomFollowUsedRange="0">
    <extLst/>
  </autoFilter>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
  <sheetViews>
    <sheetView workbookViewId="0">
      <selection activeCell="A1" sqref="A1"/>
    </sheetView>
  </sheetViews>
  <sheetFormatPr defaultColWidth="11" defaultRowHeight="13.5"/>
  <cols>
    <col min="2" max="2" width="16.2" style="1" customWidth="1"/>
  </cols>
  <sheetData>
    <row r="1" spans="1:13">
      <c r="A1" t="str" cm="1">
        <f t="array" ref="A1:M1">_xlfn._xlws.FILTER(工作表2!B6:N216,工作表2!N6:N216&gt;0,"")</f>
        <v>美星450碗</v>
      </c>
      <c r="B1" s="1" t="str">
        <v>東莞美星</v>
      </c>
      <c r="C1" t="str">
        <v>塑料餐具：碗</v>
      </c>
      <c r="D1" t="str">
        <v>300</v>
      </c>
      <c r="E1">
        <v>8.83</v>
      </c>
      <c r="F1">
        <v>76.4150943396226</v>
      </c>
      <c r="G1">
        <v>0.06</v>
      </c>
      <c r="H1">
        <v>81</v>
      </c>
      <c r="I1">
        <v>1</v>
      </c>
      <c r="J1">
        <v>8.83</v>
      </c>
      <c r="K1">
        <v>9.33</v>
      </c>
      <c r="L1">
        <v>81</v>
      </c>
      <c r="M1">
        <v>82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合同 </vt:lpstr>
      <vt:lpstr>发票</vt:lpstr>
      <vt:lpstr>装箱单</vt:lpstr>
      <vt:lpstr>报关明细表</vt:lpstr>
      <vt:lpstr>工作表1</vt:lpstr>
      <vt:lpstr>工作表2</vt:lpstr>
      <vt:lpstr>工作表3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DINGXIANG</dc:creator>
  <cp:lastModifiedBy>yypst</cp:lastModifiedBy>
  <dcterms:created xsi:type="dcterms:W3CDTF">2025-08-16T19:44:00Z</dcterms:created>
  <dcterms:modified xsi:type="dcterms:W3CDTF">2026-10-07T14:58:23Z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C0B83E255842437FBD62CC0DF8747F5F_13</vt:lpwstr>
  </property>
  <property fmtid="{D5CDD505-2E9C-101B-9397-08002B2CF9AE}" pid="4" name="KSOProductBuildVer">
    <vt:lpwstr>2052-12.1.0.26885</vt:lpwstr>
  </property>
</Properties>
</file>