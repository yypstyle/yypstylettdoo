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工作表2!$A$4:$P$195</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<sst xmlns="http://schemas.openxmlformats.org/spreadsheetml/2006/main" count="780" uniqueCount="322">
  <si>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</si>
  <si>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</si>
  <si>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</si>
  <si>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</si>
  <si>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</si>
  <si>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</si>
  <si>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</si>
  <si>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</si>
  <si>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</si>
  <si>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</si>
  <si>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</si>
  <si>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</si>
  <si>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</si>
  <si>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</si>
  <si>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</si>
  <si>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</si>
  <si>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</si>
  <si>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</si>
  <si>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</si>
  <si>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</si>
  <si>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</si>
  <si>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</si>
  <si>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</si>
  <si>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</si>
  <si>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</si>
  <si>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</si>
  <si>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</si>
  <si>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</si>
  <si>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</si>
  <si>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</si>
  <si>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</si>
  <si>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</si>
  <si>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</si>
  <si>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</si>
  <si>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</si>
  <si>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</si>
  <si>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</si>
  <si>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</si>
  <si>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</si>
  <si>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</si>
  <si>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</si>
  <si>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</si>
  <si>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</si>
  <si>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</si>
  <si>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</si>
  <si>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</si>
  <si>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</si>
  <si>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</si>
  <si>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</si>
  <si>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</si>
  <si>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</si>
  <si>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</si>
  <si>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</si>
  <si>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</si>
  <si>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</si>
  <si>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</si>
  <si>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</si>
  <si>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</si>
  <si>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</si>
  <si>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</si>
  <si>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</si>
  <si>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</si>
  <si>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</si>
  <si>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</si>
  <si>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</si>
  <si>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</si>
  <si>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</si>
  <si>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</si>
  <si>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</si>
  <si>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</si>
  <si>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</si>
  <si>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</si>
  <si>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</si>
  <si>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</si>
  <si>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</si>
  <si>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</si>
  <si>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</si>
  <si>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</si>
  <si>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</si>
  <si>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</si>
  <si>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</si>
  <si>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</si>
  <si>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</si>
  <si>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</si>
  <si>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</si>
  <si>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</si>
  <si>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</si>
  <si>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</si>
  <si>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</si>
  <si>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</si>
  <si>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</si>
  <si>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</si>
  <si>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</si>
  <si>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</si>
  <si>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</si>
  <si>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</si>
  <si>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</si>
  <si>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</si>
  <si>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</si>
  <si>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</si>
  <si>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</si>
  <si>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</si>
  <si>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</si>
  <si>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</si>
  <si>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</si>
  <si>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</si>
  <si>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</si>
  <si>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</si>
  <si>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</si>
  <si>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</si>
  <si>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</si>
  <si>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</si>
  <si>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</si>
  <si>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</si>
  <si>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</si>
  <si>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</si>
  <si>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</si>
  <si>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</si>
  <si>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</si>
  <si>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</si>
  <si>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</si>
  <si>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</si>
  <si>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</si>
  <si>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</si>
  <si>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</si>
  <si>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</si>
  <si>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</si>
  <si>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</si>
  <si>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</si>
  <si>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</si>
  <si>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</si>
  <si>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</si>
  <si>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</si>
  <si>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</si>
  <si>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</si>
  <si>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</si>
  <si>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</si>
  <si>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</si>
  <si>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</si>
  <si>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</si>
  <si>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</si>
  <si>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</si>
  <si>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</si>
  <si>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</si>
  <si>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</si>
  <si>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</si>
  <si>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</si>
  <si>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</si>
  <si>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</si>
  <si>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</si>
  <si>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</si>
  <si>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</si>
  <si>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</si>
  <si>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</si>
  <si>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</si>
  <si>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</si>
  <si>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</si>
  <si>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</si>
  <si>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</si>
  <si>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</si>
  <si>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</si>
  <si>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</si>
  <si>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</si>
  <si>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</si>
  <si>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</si>
  <si>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</si>
  <si>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</si>
  <si>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</si>
  <si>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</si>
  <si>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</si>
  <si>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</si>
  <si>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</si>
  <si>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</si>
  <si>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</si>
  <si>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</si>
  <si>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</si>
  <si>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</si>
  <si>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EP55</t>
  </si>
  <si>
    <t>EP33</t>
  </si>
  <si>
    <t>EP28S</t>
  </si>
  <si>
    <t>EP88</t>
  </si>
  <si>
    <t>Total:</t>
  </si>
  <si>
    <t>塑料餐盒</t>
  </si>
  <si>
    <t>中央CTP115盒</t>
  </si>
  <si>
    <t>塑料制品：塑料餐盒</t>
  </si>
  <si>
    <t>900</t>
  </si>
  <si>
    <t>HS9</t>
  </si>
  <si>
    <t>HS6</t>
  </si>
  <si>
    <t>800</t>
  </si>
  <si>
    <t>L1紅黑三格</t>
  </si>
  <si>
    <t>塑料餐盒蓋</t>
  </si>
  <si>
    <t>中央CTP115蓋</t>
  </si>
  <si>
    <t>塑料制品：塑料餐盒蓋</t>
  </si>
  <si>
    <t>HS9蓋</t>
  </si>
  <si>
    <t>HS6蓋</t>
  </si>
  <si>
    <t>L1紅黑三格蓋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</si>
  <si>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</si>
  <si>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</si>
  <si>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</si>
  <si>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</si>
  <si>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</si>
  <si>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</si>
  <si>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</si>
  <si>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</si>
  <si>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</si>
  <si>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</si>
  <si>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</si>
  <si>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</si>
  <si>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</si>
  <si>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</si>
  <si>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</si>
  <si>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</si>
  <si>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</si>
  <si>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</si>
  <si>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</si>
  <si>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</si>
  <si>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</si>
  <si>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</si>
  <si>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</si>
  <si>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</si>
  <si>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</si>
  <si>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</si>
  <si>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</si>
  <si>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</si>
  <si>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</si>
  <si>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</si>
  <si>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</si>
  <si>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</si>
  <si>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</si>
  <si>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</si>
  <si>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</si>
  <si>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</si>
  <si>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</si>
  <si>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</si>
  <si>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</si>
  <si>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</si>
  <si>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</si>
  <si>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</si>
  <si>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</si>
  <si>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</si>
  <si>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</si>
  <si>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</si>
  <si>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</si>
  <si>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</si>
  <si>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</si>
  <si>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</si>
  <si>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</si>
  <si>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</si>
  <si>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</si>
  <si>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</si>
  <si>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</si>
  <si>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</si>
  <si>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</si>
  <si>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</si>
  <si>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</si>
  <si>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</si>
  <si>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</si>
  <si>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</si>
  <si>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</si>
  <si>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t>
  </si>
  <si>
    <t>2安甘蔗杯</t>
  </si>
  <si>
    <t>紙餐具：杯</t>
  </si>
  <si>
    <t>2安甘蔗杯蓋</t>
  </si>
  <si>
    <t>紙餐具：杯蓋</t>
  </si>
  <si>
    <t>4安甘蔗杯</t>
  </si>
  <si>
    <t>小旦碟</t>
  </si>
  <si>
    <t>4安甘蔗杯蓋</t>
  </si>
  <si>
    <t>7"甘蔗圓碟</t>
  </si>
  <si>
    <t>江苏金晟环保餐具有限公司</t>
  </si>
  <si>
    <t>7.5"甘蔗旦碟</t>
  </si>
  <si>
    <t>9"甘蔗圓碟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</si>
  <si>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</si>
  <si>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</si>
  <si>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</si>
  <si>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</si>
  <si>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</si>
  <si>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</si>
  <si>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</si>
  <si>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</si>
  <si>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</si>
  <si>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浙江福昌环保科技有限公司</t>
  </si>
  <si>
    <t>6"甘蔗旦碟</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</si>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</sst>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4D404418-3AA8-4C88-844C-D511EA24324D}">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7D26F90E-4EA0-4EA0-8992-6E73FC61EE3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40" sqref="B40"/>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3"/>
  <sheetViews>
    <sheetView tabSelected="1" zoomScale="85" zoomScaleNormal="85" workbookViewId="0">
      <selection activeCell="B4" sqref="B4"/>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58" si="1">J6*F6</f>
        <v>0</v>
      </c>
      <c r="L6" s="17">
        <f t="shared" ref="L6:L69" si="2">K6+J6/2</f>
        <v>0</v>
      </c>
      <c r="M6" s="16">
        <f t="shared" ref="M6:M58" si="3">J6*I6</f>
        <v>0</v>
      </c>
      <c r="N6" s="18">
        <f t="shared" ref="N6:N58"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5">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5">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5">
      <c r="A51" s="12"/>
      <c r="B51" s="21" t="s">
        <v>173</v>
      </c>
      <c r="C51" s="8" t="s">
        <v>97</v>
      </c>
      <c r="D51" s="13" t="s">
        <v>126</v>
      </c>
      <c r="E51" s="21" t="s">
        <v>129</v>
      </c>
      <c r="F51" s="7">
        <v>11</v>
      </c>
      <c r="G51" s="13">
        <f>I51-1</f>
        <v>114</v>
      </c>
      <c r="H51" s="15">
        <v>0.06</v>
      </c>
      <c r="I51" s="16">
        <v>115</v>
      </c>
      <c r="J51" s="8"/>
      <c r="K51" s="17">
        <f t="shared" si="1"/>
        <v>0</v>
      </c>
      <c r="L51" s="17">
        <f t="shared" si="2"/>
        <v>0</v>
      </c>
      <c r="M51" s="16">
        <f t="shared" si="3"/>
        <v>0</v>
      </c>
      <c r="N51" s="18">
        <f t="shared" si="4"/>
        <v>0</v>
      </c>
    </row>
    <row r="52" ht="14.25" customHeight="1" spans="1:15">
      <c r="A52" s="12"/>
      <c r="B52" s="21" t="s">
        <v>174</v>
      </c>
      <c r="C52" s="8" t="s">
        <v>97</v>
      </c>
      <c r="D52" s="13" t="s">
        <v>126</v>
      </c>
      <c r="E52" s="21"/>
      <c r="F52" s="7">
        <v>9.6</v>
      </c>
      <c r="G52" s="13">
        <f>I52-1</f>
        <v>110</v>
      </c>
      <c r="H52" s="15">
        <v>0.06</v>
      </c>
      <c r="I52" s="16">
        <v>111</v>
      </c>
      <c r="J52" s="8"/>
      <c r="K52" s="17">
        <f t="shared" si="1"/>
        <v>0</v>
      </c>
      <c r="L52" s="17">
        <f t="shared" si="2"/>
        <v>0</v>
      </c>
      <c r="M52" s="16">
        <f t="shared" si="3"/>
        <v>0</v>
      </c>
      <c r="N52" s="18">
        <f t="shared" si="4"/>
        <v>0</v>
      </c>
    </row>
    <row r="53" ht="14.25" customHeight="1" spans="1:15">
      <c r="A53" s="12"/>
      <c r="B53" s="20" t="s">
        <v>175</v>
      </c>
      <c r="C53" s="8" t="s">
        <v>97</v>
      </c>
      <c r="D53" s="13" t="s">
        <v>126</v>
      </c>
      <c r="E53" s="20"/>
      <c r="F53" s="7">
        <v>10.62</v>
      </c>
      <c r="G53" s="13">
        <f>I53-1</f>
        <v>131</v>
      </c>
      <c r="H53" s="15">
        <v>0.06</v>
      </c>
      <c r="I53" s="16">
        <v>132</v>
      </c>
      <c r="J53" s="8"/>
      <c r="K53" s="17">
        <f t="shared" si="1"/>
        <v>0</v>
      </c>
      <c r="L53" s="17">
        <f t="shared" si="2"/>
        <v>0</v>
      </c>
      <c r="M53" s="16">
        <f t="shared" si="3"/>
        <v>0</v>
      </c>
      <c r="N53" s="18">
        <f t="shared" si="4"/>
        <v>0</v>
      </c>
    </row>
    <row r="54" ht="14.25" customHeight="1" spans="1:15">
      <c r="A54" s="12"/>
      <c r="B54" s="20" t="s">
        <v>176</v>
      </c>
      <c r="C54" s="8" t="s">
        <v>97</v>
      </c>
      <c r="D54" s="13" t="s">
        <v>126</v>
      </c>
      <c r="E54" s="20"/>
      <c r="F54" s="7">
        <v>8.83</v>
      </c>
      <c r="G54" s="13">
        <f>I54-1</f>
        <v>99</v>
      </c>
      <c r="H54" s="15">
        <v>0.06</v>
      </c>
      <c r="I54" s="16">
        <v>100</v>
      </c>
      <c r="J54" s="8"/>
      <c r="K54" s="17">
        <f t="shared" si="1"/>
        <v>0</v>
      </c>
      <c r="L54" s="17">
        <f t="shared" si="2"/>
        <v>0</v>
      </c>
      <c r="M54" s="16">
        <f t="shared" si="3"/>
        <v>0</v>
      </c>
      <c r="N54" s="18">
        <f t="shared" si="4"/>
        <v>0</v>
      </c>
    </row>
    <row r="55" ht="14.25" customHeight="1" spans="1:15">
      <c r="A55" s="12"/>
      <c r="B55" s="20" t="s">
        <v>177</v>
      </c>
      <c r="C55" s="8" t="s">
        <v>102</v>
      </c>
      <c r="D55" s="13" t="s">
        <v>136</v>
      </c>
      <c r="E55" s="20" t="s">
        <v>127</v>
      </c>
      <c r="F55" s="7">
        <v>9</v>
      </c>
      <c r="G55" s="13">
        <f>I55/(1+H55)</f>
        <v>81.7256637168142</v>
      </c>
      <c r="H55" s="15">
        <v>0.13</v>
      </c>
      <c r="I55" s="16">
        <v>92.35</v>
      </c>
      <c r="J55" s="8"/>
      <c r="K55" s="17">
        <f t="shared" si="1"/>
        <v>0</v>
      </c>
      <c r="L55" s="17">
        <f t="shared" si="2"/>
        <v>0</v>
      </c>
      <c r="M55" s="16">
        <f t="shared" si="3"/>
        <v>0</v>
      </c>
      <c r="N55" s="18">
        <f t="shared" si="4"/>
        <v>0</v>
      </c>
    </row>
    <row r="56" ht="14.25" customHeight="1" spans="1:15">
      <c r="A56" s="12"/>
      <c r="B56" s="20" t="s">
        <v>178</v>
      </c>
      <c r="C56" s="8" t="s">
        <v>102</v>
      </c>
      <c r="D56" s="13" t="s">
        <v>136</v>
      </c>
      <c r="E56" s="20" t="s">
        <v>166</v>
      </c>
      <c r="F56" s="7">
        <v>8</v>
      </c>
      <c r="G56" s="13">
        <f>I56/(1+H56)</f>
        <v>77.2566371681416</v>
      </c>
      <c r="H56" s="15">
        <v>0.13</v>
      </c>
      <c r="I56" s="16">
        <v>87.3</v>
      </c>
      <c r="J56" s="8"/>
      <c r="K56" s="17">
        <f t="shared" si="1"/>
        <v>0</v>
      </c>
      <c r="L56" s="17">
        <f t="shared" si="2"/>
        <v>0</v>
      </c>
      <c r="M56" s="16">
        <f t="shared" si="3"/>
        <v>0</v>
      </c>
      <c r="N56" s="18">
        <f t="shared" si="4"/>
        <v>0</v>
      </c>
    </row>
    <row r="57" ht="14.25" customHeight="1" spans="1:15">
      <c r="A57" s="12"/>
      <c r="B57" s="22" t="s">
        <v>179</v>
      </c>
      <c r="C57" s="8" t="s">
        <v>102</v>
      </c>
      <c r="D57" s="13" t="s">
        <v>136</v>
      </c>
      <c r="E57" s="20" t="s">
        <v>166</v>
      </c>
      <c r="F57" s="7">
        <v>8</v>
      </c>
      <c r="G57" s="13">
        <f>I57/(1+H57)</f>
        <v>69.3362831858407</v>
      </c>
      <c r="H57" s="15">
        <v>0.13</v>
      </c>
      <c r="I57" s="16">
        <v>78.35</v>
      </c>
      <c r="J57" s="8"/>
      <c r="K57" s="17">
        <f t="shared" si="1"/>
        <v>0</v>
      </c>
      <c r="L57" s="17">
        <f t="shared" si="2"/>
        <v>0</v>
      </c>
      <c r="M57" s="16">
        <f t="shared" si="3"/>
        <v>0</v>
      </c>
      <c r="N57" s="18">
        <f t="shared" si="4"/>
        <v>0</v>
      </c>
    </row>
    <row r="58" ht="14.25" customHeight="1" spans="1:15">
      <c r="A58" s="12"/>
      <c r="B58" s="20" t="s">
        <v>180</v>
      </c>
      <c r="C58" s="8" t="s">
        <v>102</v>
      </c>
      <c r="D58" s="13" t="s">
        <v>136</v>
      </c>
      <c r="E58" s="20" t="s">
        <v>166</v>
      </c>
      <c r="F58" s="7">
        <v>8.4</v>
      </c>
      <c r="G58" s="13">
        <v>94.09</v>
      </c>
      <c r="H58" s="15">
        <v>0.13</v>
      </c>
      <c r="I58" s="23">
        <f>G58+1</f>
        <v>95.09</v>
      </c>
      <c r="J58" s="24"/>
      <c r="K58" s="17">
        <f t="shared" si="1"/>
        <v>0</v>
      </c>
      <c r="L58" s="17">
        <f t="shared" si="2"/>
        <v>0</v>
      </c>
      <c r="M58" s="16">
        <f t="shared" si="3"/>
        <v>0</v>
      </c>
      <c r="N58" s="18">
        <f t="shared" si="4"/>
        <v>0</v>
      </c>
    </row>
    <row r="59" spans="1:15">
      <c r="A59" s="12"/>
      <c r="B59" s="12"/>
      <c r="C59" s="12"/>
      <c r="D59" s="12"/>
      <c r="E59" s="12"/>
      <c r="F59" s="7"/>
      <c r="G59" s="13"/>
      <c r="H59" s="15"/>
      <c r="I59" s="23" t="s">
        <v>181</v>
      </c>
      <c r="J59" s="24"/>
      <c r="K59" s="24"/>
      <c r="L59" s="17">
        <f t="shared" si="2"/>
        <v>0</v>
      </c>
      <c r="M59" s="24"/>
      <c r="N59" s="24"/>
    </row>
    <row r="60" spans="1:15">
      <c r="A60" s="12"/>
      <c r="B60" s="10" t="s">
        <v>182</v>
      </c>
      <c r="C60" s="10"/>
      <c r="D60" s="10"/>
      <c r="E60" s="10"/>
      <c r="F60" s="11"/>
      <c r="G60" s="13"/>
      <c r="H60" s="15"/>
      <c r="I60" s="15"/>
      <c r="J60" s="15"/>
      <c r="K60" s="15"/>
      <c r="L60" s="17">
        <f t="shared" si="2"/>
        <v>0</v>
      </c>
      <c r="M60" s="15"/>
      <c r="N60" s="15"/>
    </row>
    <row r="61" spans="1:15">
      <c r="A61" s="12"/>
      <c r="B61" s="25" t="s">
        <v>183</v>
      </c>
      <c r="C61" s="7" t="s">
        <v>95</v>
      </c>
      <c r="D61" s="13" t="s">
        <v>184</v>
      </c>
      <c r="E61" s="26" t="s">
        <v>185</v>
      </c>
      <c r="F61" s="7">
        <v>8.5</v>
      </c>
      <c r="G61" s="13">
        <f>9823.01/60</f>
        <v>163.716833333333</v>
      </c>
      <c r="H61" s="15">
        <v>0.13</v>
      </c>
      <c r="I61" s="16">
        <f>G61*(1+H61)</f>
        <v>185.000021666667</v>
      </c>
      <c r="J61" s="8"/>
      <c r="K61" s="17">
        <f>J61*F61</f>
        <v>0</v>
      </c>
      <c r="L61" s="17">
        <f t="shared" si="2"/>
        <v>0</v>
      </c>
      <c r="M61" s="16">
        <f>J61*I61</f>
        <v>0</v>
      </c>
      <c r="N61" s="18">
        <f>M61+J61</f>
        <v>0</v>
      </c>
    </row>
    <row r="62" spans="1:15">
      <c r="A62" s="12"/>
      <c r="B62" s="27" t="s">
        <v>186</v>
      </c>
      <c r="C62" s="7" t="s">
        <v>95</v>
      </c>
      <c r="D62" s="13" t="s">
        <v>184</v>
      </c>
      <c r="E62" s="26">
        <v>1000</v>
      </c>
      <c r="F62" s="7">
        <v>18.2</v>
      </c>
      <c r="G62" s="13">
        <f>I62/(1+H62)</f>
        <v>336.283185840708</v>
      </c>
      <c r="H62" s="15">
        <v>0.13</v>
      </c>
      <c r="I62" s="16">
        <v>380</v>
      </c>
      <c r="J62" s="8"/>
      <c r="K62" s="17">
        <f>J62*F62</f>
        <v>0</v>
      </c>
      <c r="L62" s="17">
        <f t="shared" si="2"/>
        <v>0</v>
      </c>
      <c r="M62" s="16">
        <f>J62*I62</f>
        <v>0</v>
      </c>
      <c r="N62" s="18">
        <f>M62+J62</f>
        <v>0</v>
      </c>
    </row>
    <row r="63" spans="1:15">
      <c r="A63" s="12"/>
      <c r="B63" s="27" t="s">
        <v>187</v>
      </c>
      <c r="C63" s="7" t="s">
        <v>95</v>
      </c>
      <c r="D63" s="13" t="s">
        <v>184</v>
      </c>
      <c r="E63" s="26" t="s">
        <v>188</v>
      </c>
      <c r="F63" s="7">
        <v>9.25</v>
      </c>
      <c r="G63" s="13">
        <f>I63/(1+H63)</f>
        <v>141.592920353982</v>
      </c>
      <c r="H63" s="15">
        <v>0.13</v>
      </c>
      <c r="I63" s="13">
        <v>160</v>
      </c>
      <c r="J63" s="8"/>
      <c r="K63" s="17">
        <f>J63*F63</f>
        <v>0</v>
      </c>
      <c r="L63" s="17">
        <f t="shared" si="2"/>
        <v>0</v>
      </c>
      <c r="M63" s="16">
        <f>J63*I63</f>
        <v>0</v>
      </c>
      <c r="N63" s="18">
        <f>M63+J63</f>
        <v>0</v>
      </c>
      <c r="O63" s="13"/>
    </row>
    <row r="64" spans="1:15">
      <c r="A64" s="12"/>
      <c r="B64" s="27" t="s">
        <v>189</v>
      </c>
      <c r="C64" s="7" t="s">
        <v>95</v>
      </c>
      <c r="D64" s="13" t="s">
        <v>184</v>
      </c>
      <c r="E64" s="26"/>
      <c r="F64" s="7">
        <v>13.5</v>
      </c>
      <c r="G64" s="13">
        <f>I64/(1+H64)</f>
        <v>176.991150442478</v>
      </c>
      <c r="H64" s="15">
        <v>0.13</v>
      </c>
      <c r="I64" s="13">
        <v>200</v>
      </c>
      <c r="J64" s="8"/>
      <c r="K64" s="17">
        <f>J64*F64</f>
        <v>0</v>
      </c>
      <c r="L64" s="17">
        <f t="shared" si="2"/>
        <v>0</v>
      </c>
      <c r="M64" s="16">
        <f>J64*I64</f>
        <v>0</v>
      </c>
      <c r="N64" s="18">
        <f>M64+J64</f>
        <v>0</v>
      </c>
      <c r="O64" s="13"/>
    </row>
    <row r="65" spans="1:14">
      <c r="A65" s="12"/>
      <c r="B65" s="10" t="s">
        <v>190</v>
      </c>
      <c r="C65" s="10"/>
      <c r="D65" s="10"/>
      <c r="E65" s="28"/>
      <c r="F65" s="11"/>
      <c r="G65" s="13"/>
      <c r="H65" s="15"/>
      <c r="L65" s="17">
        <f t="shared" si="2"/>
        <v>0</v>
      </c>
      <c r="M65" s="2"/>
    </row>
    <row r="66" spans="1:14">
      <c r="A66" s="12"/>
      <c r="B66" s="25" t="s">
        <v>191</v>
      </c>
      <c r="C66" s="7" t="s">
        <v>95</v>
      </c>
      <c r="D66" s="13" t="s">
        <v>192</v>
      </c>
      <c r="E66" s="26" t="s">
        <v>185</v>
      </c>
      <c r="F66" s="7">
        <v>2.4</v>
      </c>
      <c r="G66" s="13">
        <f>5575.22/60</f>
        <v>92.9203333333333</v>
      </c>
      <c r="H66" s="15">
        <v>0.13</v>
      </c>
      <c r="I66" s="16">
        <f>G66*(1+H66)</f>
        <v>104.999976666667</v>
      </c>
      <c r="J66" s="8"/>
      <c r="K66" s="17">
        <f>J66*F66</f>
        <v>0</v>
      </c>
      <c r="L66" s="17">
        <f t="shared" si="2"/>
        <v>0</v>
      </c>
      <c r="M66" s="16">
        <f>J66*I66</f>
        <v>0</v>
      </c>
      <c r="N66" s="18">
        <f t="shared" ref="N66:N93" si="8">M66+J66</f>
        <v>0</v>
      </c>
    </row>
    <row r="67" spans="1:14">
      <c r="A67" s="12"/>
      <c r="B67" s="27" t="s">
        <v>193</v>
      </c>
      <c r="C67" s="7" t="s">
        <v>95</v>
      </c>
      <c r="D67" s="13" t="s">
        <v>192</v>
      </c>
      <c r="E67" s="26">
        <v>1000</v>
      </c>
      <c r="F67" s="7">
        <v>7</v>
      </c>
      <c r="G67" s="13">
        <f>I67/(1+H67)</f>
        <v>230.088495575221</v>
      </c>
      <c r="H67" s="15">
        <v>0.13</v>
      </c>
      <c r="I67" s="16">
        <v>260</v>
      </c>
      <c r="J67" s="8"/>
      <c r="K67" s="17">
        <f>J67*F67</f>
        <v>0</v>
      </c>
      <c r="L67" s="17">
        <f t="shared" si="2"/>
        <v>0</v>
      </c>
      <c r="M67" s="16">
        <f>J67*I67</f>
        <v>0</v>
      </c>
      <c r="N67" s="18">
        <f t="shared" si="8"/>
        <v>0</v>
      </c>
    </row>
    <row r="68" spans="1:14">
      <c r="A68" s="12"/>
      <c r="B68" s="25" t="s">
        <v>194</v>
      </c>
      <c r="C68" s="7" t="s">
        <v>95</v>
      </c>
      <c r="D68" s="13" t="s">
        <v>192</v>
      </c>
      <c r="E68" s="26" t="s">
        <v>188</v>
      </c>
      <c r="F68" s="7">
        <v>9.25</v>
      </c>
      <c r="G68" s="13">
        <f>I68/(1+H68)</f>
        <v>141.592920353982</v>
      </c>
      <c r="H68" s="15">
        <v>0.13</v>
      </c>
      <c r="I68" s="16">
        <v>160</v>
      </c>
      <c r="J68" s="8"/>
      <c r="K68" s="17">
        <f>J68*F68</f>
        <v>0</v>
      </c>
      <c r="L68" s="17">
        <f t="shared" si="2"/>
        <v>0</v>
      </c>
      <c r="M68" s="16">
        <f>J68*I68</f>
        <v>0</v>
      </c>
      <c r="N68" s="18">
        <f t="shared" si="8"/>
        <v>0</v>
      </c>
    </row>
    <row r="69" spans="1:14">
      <c r="A69" s="12"/>
      <c r="B69" s="27" t="s">
        <v>195</v>
      </c>
      <c r="C69" s="7" t="s">
        <v>95</v>
      </c>
      <c r="D69" s="13" t="s">
        <v>192</v>
      </c>
      <c r="E69" s="26"/>
      <c r="F69" s="7">
        <v>5.2</v>
      </c>
      <c r="G69" s="13">
        <f>I69/(1+H69)</f>
        <v>141.592920353982</v>
      </c>
      <c r="H69" s="15">
        <v>0.13</v>
      </c>
      <c r="I69" s="16">
        <v>160</v>
      </c>
      <c r="J69" s="8"/>
      <c r="K69" s="17">
        <f>J69*F69</f>
        <v>0</v>
      </c>
      <c r="L69" s="17">
        <f t="shared" si="2"/>
        <v>0</v>
      </c>
      <c r="M69" s="16">
        <f>J69*I69</f>
        <v>0</v>
      </c>
      <c r="N69" s="18">
        <f t="shared" si="8"/>
        <v>0</v>
      </c>
    </row>
    <row r="70" spans="1:14">
      <c r="A70" s="12"/>
      <c r="B70" s="10" t="s">
        <v>116</v>
      </c>
      <c r="C70" s="10"/>
      <c r="D70" s="10"/>
      <c r="E70" s="28"/>
      <c r="F70" s="11"/>
      <c r="G70" s="13"/>
      <c r="H70" s="15"/>
      <c r="I70" s="16"/>
      <c r="J70" s="8"/>
      <c r="K70" s="17"/>
      <c r="L70" s="17">
        <f>K70+J70/2</f>
        <v>0</v>
      </c>
      <c r="M70" s="16"/>
      <c r="N70" s="18">
        <f t="shared" si="8"/>
        <v>0</v>
      </c>
    </row>
    <row r="71" s="2" customFormat="1" spans="1:14">
      <c r="A71" s="12"/>
      <c r="B71" s="19" t="s">
        <v>196</v>
      </c>
      <c r="C71" s="8" t="s">
        <v>91</v>
      </c>
      <c r="D71" s="13" t="s">
        <v>136</v>
      </c>
      <c r="E71" s="14" t="s">
        <v>197</v>
      </c>
      <c r="F71" s="7">
        <v>6.3</v>
      </c>
      <c r="G71" s="13">
        <v>68</v>
      </c>
      <c r="H71" s="15">
        <v>0.08</v>
      </c>
      <c r="I71" s="16">
        <f t="shared" ref="I71:I78" si="9">G71*(1+H71)</f>
        <v>73.44</v>
      </c>
      <c r="J71" s="8"/>
      <c r="K71" s="17">
        <f t="shared" ref="K71:K93" si="10">J71*F71</f>
        <v>0</v>
      </c>
      <c r="L71" s="17">
        <f>K71+J71/2</f>
        <v>0</v>
      </c>
      <c r="M71" s="16">
        <f t="shared" ref="M71:M93" si="11">J71*I71</f>
        <v>0</v>
      </c>
      <c r="N71" s="18">
        <f t="shared" si="8"/>
        <v>0</v>
      </c>
    </row>
    <row r="72" spans="1:14">
      <c r="A72" s="12"/>
      <c r="B72" s="19" t="s">
        <v>198</v>
      </c>
      <c r="C72" s="8" t="s">
        <v>91</v>
      </c>
      <c r="D72" s="13" t="s">
        <v>136</v>
      </c>
      <c r="E72" s="14" t="s">
        <v>197</v>
      </c>
      <c r="F72" s="7">
        <v>7.5</v>
      </c>
      <c r="G72" s="13">
        <v>74</v>
      </c>
      <c r="H72" s="15">
        <v>0.08</v>
      </c>
      <c r="I72" s="16">
        <f t="shared" si="9"/>
        <v>79.92</v>
      </c>
      <c r="J72" s="8"/>
      <c r="K72" s="17">
        <f t="shared" si="10"/>
        <v>0</v>
      </c>
      <c r="L72" s="17">
        <f>K72+J72/2</f>
        <v>0</v>
      </c>
      <c r="M72" s="16">
        <f t="shared" si="11"/>
        <v>0</v>
      </c>
      <c r="N72" s="18">
        <f t="shared" si="8"/>
        <v>0</v>
      </c>
    </row>
    <row r="73" spans="1:14">
      <c r="A73" s="12"/>
      <c r="B73" s="19" t="s">
        <v>199</v>
      </c>
      <c r="C73" s="8" t="s">
        <v>91</v>
      </c>
      <c r="D73" s="13" t="s">
        <v>136</v>
      </c>
      <c r="E73" s="14" t="s">
        <v>197</v>
      </c>
      <c r="F73" s="7">
        <v>7.5</v>
      </c>
      <c r="G73" s="13">
        <v>82</v>
      </c>
      <c r="H73" s="15">
        <v>0.08</v>
      </c>
      <c r="I73" s="16">
        <f t="shared" si="9"/>
        <v>88.56</v>
      </c>
      <c r="J73" s="8"/>
      <c r="K73" s="17">
        <f t="shared" si="10"/>
        <v>0</v>
      </c>
      <c r="L73" s="17">
        <f>K73+J73/2</f>
        <v>0</v>
      </c>
      <c r="M73" s="16">
        <f t="shared" si="11"/>
        <v>0</v>
      </c>
      <c r="N73" s="18">
        <f t="shared" si="8"/>
        <v>0</v>
      </c>
    </row>
    <row r="74" spans="1:14">
      <c r="A74" s="12"/>
      <c r="B74" s="12" t="s">
        <v>200</v>
      </c>
      <c r="C74" s="8" t="s">
        <v>91</v>
      </c>
      <c r="D74" s="13" t="s">
        <v>136</v>
      </c>
      <c r="E74" s="14" t="s">
        <v>197</v>
      </c>
      <c r="F74" s="7">
        <v>8.1</v>
      </c>
      <c r="G74" s="13">
        <v>90</v>
      </c>
      <c r="H74" s="15">
        <v>0.08</v>
      </c>
      <c r="I74" s="16">
        <f t="shared" si="9"/>
        <v>97.2</v>
      </c>
      <c r="J74" s="8"/>
      <c r="K74" s="17">
        <f t="shared" si="10"/>
        <v>0</v>
      </c>
      <c r="L74" s="17">
        <f>K74+J74/2</f>
        <v>0</v>
      </c>
      <c r="M74" s="16">
        <f t="shared" si="11"/>
        <v>0</v>
      </c>
      <c r="N74" s="18">
        <f t="shared" si="8"/>
        <v>0</v>
      </c>
    </row>
    <row r="75" spans="1:14">
      <c r="A75" s="12"/>
      <c r="B75" s="19" t="s">
        <v>201</v>
      </c>
      <c r="C75" s="8" t="s">
        <v>91</v>
      </c>
      <c r="D75" s="13" t="s">
        <v>136</v>
      </c>
      <c r="E75" s="14" t="s">
        <v>127</v>
      </c>
      <c r="F75" s="7">
        <v>5.5</v>
      </c>
      <c r="G75" s="13">
        <v>61</v>
      </c>
      <c r="H75" s="15">
        <v>0.08</v>
      </c>
      <c r="I75" s="16">
        <f t="shared" si="9"/>
        <v>65.88</v>
      </c>
      <c r="J75" s="8"/>
      <c r="K75" s="17">
        <f t="shared" si="10"/>
        <v>0</v>
      </c>
      <c r="L75" s="17">
        <f>K75+J75/2</f>
        <v>0</v>
      </c>
      <c r="M75" s="16">
        <f t="shared" si="11"/>
        <v>0</v>
      </c>
      <c r="N75" s="18">
        <f t="shared" si="8"/>
        <v>0</v>
      </c>
    </row>
    <row r="76" spans="1:14">
      <c r="A76" s="12"/>
      <c r="B76" s="12" t="s">
        <v>202</v>
      </c>
      <c r="C76" s="8" t="s">
        <v>91</v>
      </c>
      <c r="D76" s="13" t="s">
        <v>136</v>
      </c>
      <c r="E76" s="14" t="s">
        <v>127</v>
      </c>
      <c r="F76" s="7">
        <v>5.5</v>
      </c>
      <c r="G76" s="13">
        <v>59</v>
      </c>
      <c r="H76" s="15">
        <v>0.08</v>
      </c>
      <c r="I76" s="16">
        <f t="shared" si="9"/>
        <v>63.72</v>
      </c>
      <c r="J76" s="8"/>
      <c r="K76" s="17">
        <f t="shared" si="10"/>
        <v>0</v>
      </c>
      <c r="L76" s="17">
        <f>K76+J76/2</f>
        <v>0</v>
      </c>
      <c r="M76" s="16">
        <f t="shared" si="11"/>
        <v>0</v>
      </c>
      <c r="N76" s="18">
        <f t="shared" si="8"/>
        <v>0</v>
      </c>
    </row>
    <row r="77" spans="1:14">
      <c r="A77" s="12"/>
      <c r="B77" s="19" t="s">
        <v>203</v>
      </c>
      <c r="C77" s="8" t="s">
        <v>91</v>
      </c>
      <c r="D77" s="13" t="s">
        <v>136</v>
      </c>
      <c r="E77" s="14" t="s">
        <v>127</v>
      </c>
      <c r="F77" s="7">
        <v>5.5</v>
      </c>
      <c r="G77" s="13">
        <v>61</v>
      </c>
      <c r="H77" s="15">
        <v>0.08</v>
      </c>
      <c r="I77" s="16">
        <f t="shared" si="9"/>
        <v>65.88</v>
      </c>
      <c r="J77" s="8"/>
      <c r="K77" s="17">
        <f t="shared" si="10"/>
        <v>0</v>
      </c>
      <c r="L77" s="17">
        <f>K77+J77/2</f>
        <v>0</v>
      </c>
      <c r="M77" s="16">
        <f t="shared" si="11"/>
        <v>0</v>
      </c>
      <c r="N77" s="18">
        <f t="shared" si="8"/>
        <v>0</v>
      </c>
    </row>
    <row r="78" spans="1:14">
      <c r="A78" s="12"/>
      <c r="B78" s="19">
        <v>6828</v>
      </c>
      <c r="C78" s="8" t="s">
        <v>91</v>
      </c>
      <c r="D78" s="13" t="s">
        <v>136</v>
      </c>
      <c r="E78" s="14" t="s">
        <v>127</v>
      </c>
      <c r="F78" s="7">
        <v>5.5</v>
      </c>
      <c r="G78" s="13">
        <v>59</v>
      </c>
      <c r="H78" s="15">
        <v>0.08</v>
      </c>
      <c r="I78" s="16">
        <f t="shared" si="9"/>
        <v>63.72</v>
      </c>
      <c r="J78" s="8"/>
      <c r="K78" s="17">
        <f t="shared" si="10"/>
        <v>0</v>
      </c>
      <c r="L78" s="17">
        <f>K78+J78/2</f>
        <v>0</v>
      </c>
      <c r="M78" s="16">
        <f t="shared" si="11"/>
        <v>0</v>
      </c>
      <c r="N78" s="18">
        <f t="shared" si="8"/>
        <v>0</v>
      </c>
    </row>
    <row r="79" s="2" customFormat="1" spans="1:14">
      <c r="A79" s="12"/>
      <c r="B79" s="29" t="s">
        <v>204</v>
      </c>
      <c r="C79" s="29" t="s">
        <v>205</v>
      </c>
      <c r="D79" s="13" t="s">
        <v>136</v>
      </c>
      <c r="E79" s="30" t="s">
        <v>129</v>
      </c>
      <c r="F79" s="7">
        <v>8.4</v>
      </c>
      <c r="G79" s="13">
        <f t="shared" ref="G79:G83" si="12">I79-1</f>
        <v>89</v>
      </c>
      <c r="H79" s="15">
        <v>0.08</v>
      </c>
      <c r="I79" s="13">
        <v>90</v>
      </c>
      <c r="J79" s="8"/>
      <c r="K79" s="17">
        <f t="shared" si="10"/>
        <v>0</v>
      </c>
      <c r="L79" s="17">
        <f>K79+J79/2</f>
        <v>0</v>
      </c>
      <c r="M79" s="16">
        <f t="shared" si="11"/>
        <v>0</v>
      </c>
      <c r="N79" s="18">
        <f t="shared" si="8"/>
        <v>0</v>
      </c>
    </row>
    <row r="80" s="2" customFormat="1" spans="1:14">
      <c r="A80" s="12"/>
      <c r="B80" s="29" t="s">
        <v>206</v>
      </c>
      <c r="C80" s="29" t="s">
        <v>205</v>
      </c>
      <c r="D80" s="13" t="s">
        <v>136</v>
      </c>
      <c r="E80" s="30" t="s">
        <v>127</v>
      </c>
      <c r="F80" s="7">
        <v>6.3</v>
      </c>
      <c r="G80" s="13">
        <f t="shared" si="12"/>
        <v>69</v>
      </c>
      <c r="H80" s="15">
        <v>0.08</v>
      </c>
      <c r="I80" s="13">
        <v>70</v>
      </c>
      <c r="J80" s="8"/>
      <c r="K80" s="17">
        <f t="shared" si="10"/>
        <v>0</v>
      </c>
      <c r="L80" s="17">
        <f>K80+J80/2</f>
        <v>0</v>
      </c>
      <c r="M80" s="16">
        <f t="shared" si="11"/>
        <v>0</v>
      </c>
      <c r="N80" s="18">
        <f t="shared" si="8"/>
        <v>0</v>
      </c>
    </row>
    <row r="81" s="2" customFormat="1" spans="1:14">
      <c r="A81" s="12"/>
      <c r="B81" s="31" t="s">
        <v>207</v>
      </c>
      <c r="C81" s="29" t="s">
        <v>205</v>
      </c>
      <c r="D81" s="13" t="s">
        <v>136</v>
      </c>
      <c r="E81" s="30" t="s">
        <v>166</v>
      </c>
      <c r="F81" s="7">
        <v>8.4</v>
      </c>
      <c r="G81" s="13">
        <f t="shared" si="12"/>
        <v>91</v>
      </c>
      <c r="H81" s="15">
        <v>0.08</v>
      </c>
      <c r="I81" s="13">
        <v>92</v>
      </c>
      <c r="J81" s="8"/>
      <c r="K81" s="17">
        <f t="shared" si="10"/>
        <v>0</v>
      </c>
      <c r="L81" s="17">
        <f>K81+J81/2</f>
        <v>0</v>
      </c>
      <c r="M81" s="16">
        <f t="shared" si="11"/>
        <v>0</v>
      </c>
      <c r="N81" s="18">
        <f t="shared" si="8"/>
        <v>0</v>
      </c>
    </row>
    <row r="82" s="2" customFormat="1" spans="1:14">
      <c r="A82" s="12"/>
      <c r="B82" s="29" t="s">
        <v>208</v>
      </c>
      <c r="C82" s="29" t="s">
        <v>205</v>
      </c>
      <c r="D82" s="13" t="s">
        <v>136</v>
      </c>
      <c r="E82" s="30" t="s">
        <v>166</v>
      </c>
      <c r="F82" s="7">
        <v>10.4</v>
      </c>
      <c r="G82" s="13">
        <f t="shared" si="12"/>
        <v>76</v>
      </c>
      <c r="H82" s="15">
        <v>0.08</v>
      </c>
      <c r="I82" s="13">
        <v>77</v>
      </c>
      <c r="J82" s="8"/>
      <c r="K82" s="17">
        <f t="shared" si="10"/>
        <v>0</v>
      </c>
      <c r="L82" s="17">
        <f>K82+J82/2</f>
        <v>0</v>
      </c>
      <c r="M82" s="16">
        <f t="shared" si="11"/>
        <v>0</v>
      </c>
      <c r="N82" s="18">
        <f t="shared" si="8"/>
        <v>0</v>
      </c>
    </row>
    <row r="83" s="2" customFormat="1" spans="1:14">
      <c r="A83" s="12"/>
      <c r="B83" s="29" t="s">
        <v>209</v>
      </c>
      <c r="C83" s="29" t="s">
        <v>205</v>
      </c>
      <c r="D83" s="13" t="s">
        <v>136</v>
      </c>
      <c r="E83" s="30" t="s">
        <v>129</v>
      </c>
      <c r="F83" s="7">
        <v>11.4</v>
      </c>
      <c r="G83" s="13">
        <f t="shared" si="12"/>
        <v>89</v>
      </c>
      <c r="H83" s="15">
        <v>0.08</v>
      </c>
      <c r="I83" s="13">
        <v>90</v>
      </c>
      <c r="J83" s="8"/>
      <c r="K83" s="17"/>
      <c r="L83" s="17"/>
      <c r="M83" s="16"/>
      <c r="N83" s="18"/>
    </row>
    <row r="84" s="2" customFormat="1" spans="1:14">
      <c r="A84" s="12"/>
      <c r="B84" s="31" t="s">
        <v>210</v>
      </c>
      <c r="C84" s="29" t="s">
        <v>205</v>
      </c>
      <c r="D84" s="13" t="s">
        <v>136</v>
      </c>
      <c r="E84" s="30" t="s">
        <v>129</v>
      </c>
      <c r="F84" s="7">
        <v>10.2</v>
      </c>
      <c r="G84" s="13">
        <f t="shared" ref="G84:G89" si="13">I84-1</f>
        <v>113</v>
      </c>
      <c r="H84" s="15">
        <v>0.08</v>
      </c>
      <c r="I84" s="13">
        <v>114</v>
      </c>
      <c r="J84" s="8"/>
      <c r="K84" s="17">
        <f>J84*F84</f>
        <v>0</v>
      </c>
      <c r="L84" s="17">
        <f t="shared" ref="L84:L94" si="14">K84+J84/2</f>
        <v>0</v>
      </c>
      <c r="M84" s="16">
        <f>J84*I84</f>
        <v>0</v>
      </c>
      <c r="N84" s="18">
        <f>M84+J84</f>
        <v>0</v>
      </c>
    </row>
    <row r="85" s="2" customFormat="1" spans="1:14">
      <c r="A85" s="12"/>
      <c r="B85" s="31" t="s">
        <v>211</v>
      </c>
      <c r="C85" s="29" t="s">
        <v>205</v>
      </c>
      <c r="D85" s="13" t="s">
        <v>136</v>
      </c>
      <c r="E85" s="30" t="s">
        <v>212</v>
      </c>
      <c r="F85" s="7">
        <v>7.2</v>
      </c>
      <c r="G85" s="13">
        <f t="shared" si="13"/>
        <v>73</v>
      </c>
      <c r="H85" s="15">
        <v>0.08</v>
      </c>
      <c r="I85" s="13">
        <v>74</v>
      </c>
      <c r="J85" s="8"/>
      <c r="K85" s="17">
        <f>J85*F85</f>
        <v>0</v>
      </c>
      <c r="L85" s="17">
        <f t="shared" si="14"/>
        <v>0</v>
      </c>
      <c r="M85" s="16">
        <f>J85*I85</f>
        <v>0</v>
      </c>
      <c r="N85" s="18">
        <f>M85+J85</f>
        <v>0</v>
      </c>
    </row>
    <row r="86" s="2" customFormat="1" spans="1:14">
      <c r="A86" s="12"/>
      <c r="B86" s="29" t="s">
        <v>213</v>
      </c>
      <c r="C86" s="29" t="s">
        <v>205</v>
      </c>
      <c r="D86" s="13" t="s">
        <v>136</v>
      </c>
      <c r="E86" s="30" t="s">
        <v>129</v>
      </c>
      <c r="F86" s="7">
        <v>6.9</v>
      </c>
      <c r="G86" s="13">
        <f t="shared" si="13"/>
        <v>73.7</v>
      </c>
      <c r="H86" s="15">
        <v>0.08</v>
      </c>
      <c r="I86" s="13">
        <v>74.7</v>
      </c>
      <c r="J86" s="8"/>
      <c r="K86" s="17">
        <f>J86*F86</f>
        <v>0</v>
      </c>
      <c r="L86" s="17">
        <f t="shared" si="14"/>
        <v>0</v>
      </c>
      <c r="M86" s="16">
        <f>J86*I86</f>
        <v>0</v>
      </c>
      <c r="N86" s="18">
        <f>M86+J86</f>
        <v>0</v>
      </c>
    </row>
    <row r="87" s="2" customFormat="1" spans="1:14">
      <c r="A87" s="12"/>
      <c r="B87" s="29" t="s">
        <v>214</v>
      </c>
      <c r="C87" s="29" t="s">
        <v>205</v>
      </c>
      <c r="D87" s="13" t="s">
        <v>136</v>
      </c>
      <c r="E87" s="30" t="s">
        <v>129</v>
      </c>
      <c r="F87" s="7">
        <v>9.9</v>
      </c>
      <c r="G87" s="13">
        <f t="shared" si="13"/>
        <v>74.1</v>
      </c>
      <c r="H87" s="15">
        <v>0.08</v>
      </c>
      <c r="I87" s="13">
        <v>75.1</v>
      </c>
      <c r="J87" s="8"/>
      <c r="K87" s="17">
        <f>J87*F87</f>
        <v>0</v>
      </c>
      <c r="L87" s="17">
        <f t="shared" si="14"/>
        <v>0</v>
      </c>
      <c r="M87" s="16">
        <f>J87*I87</f>
        <v>0</v>
      </c>
      <c r="N87" s="18">
        <f>M87+J87</f>
        <v>0</v>
      </c>
    </row>
    <row r="88" s="2" customFormat="1" spans="1:14">
      <c r="A88" s="12"/>
      <c r="B88" s="29" t="s">
        <v>215</v>
      </c>
      <c r="C88" s="29" t="s">
        <v>205</v>
      </c>
      <c r="D88" s="13" t="s">
        <v>136</v>
      </c>
      <c r="E88" s="30" t="s">
        <v>127</v>
      </c>
      <c r="F88" s="7">
        <v>7.8</v>
      </c>
      <c r="G88" s="13">
        <f t="shared" si="13"/>
        <v>58.1</v>
      </c>
      <c r="H88" s="15">
        <v>0.08</v>
      </c>
      <c r="I88" s="13">
        <v>59.1</v>
      </c>
      <c r="J88" s="8"/>
      <c r="K88" s="17">
        <f>J88*F88</f>
        <v>0</v>
      </c>
      <c r="L88" s="17">
        <f t="shared" si="14"/>
        <v>0</v>
      </c>
      <c r="M88" s="16">
        <f>J88*I88</f>
        <v>0</v>
      </c>
      <c r="N88" s="18">
        <f>M88+J88</f>
        <v>0</v>
      </c>
    </row>
    <row r="89" s="2" customFormat="1" spans="1:14">
      <c r="A89" s="12"/>
      <c r="B89" s="29" t="s">
        <v>216</v>
      </c>
      <c r="C89" s="29" t="s">
        <v>205</v>
      </c>
      <c r="D89" s="13" t="s">
        <v>136</v>
      </c>
      <c r="E89" s="30" t="s">
        <v>127</v>
      </c>
      <c r="F89" s="7">
        <v>7.8</v>
      </c>
      <c r="G89" s="13">
        <f t="shared" si="13"/>
        <v>124</v>
      </c>
      <c r="H89" s="15">
        <v>0.08</v>
      </c>
      <c r="I89" s="13">
        <v>125</v>
      </c>
      <c r="J89" s="8"/>
      <c r="K89" s="17">
        <f>J89*F89</f>
        <v>0</v>
      </c>
      <c r="L89" s="17">
        <f t="shared" si="14"/>
        <v>0</v>
      </c>
      <c r="M89" s="16">
        <f>J89*I89</f>
        <v>0</v>
      </c>
      <c r="N89" s="18">
        <f>M89+J89</f>
        <v>0</v>
      </c>
    </row>
    <row r="90" s="2" customFormat="1" spans="1:14">
      <c r="A90" s="12"/>
      <c r="B90" s="12" t="s">
        <v>217</v>
      </c>
      <c r="C90" s="12" t="s">
        <v>218</v>
      </c>
      <c r="D90" s="13" t="s">
        <v>136</v>
      </c>
      <c r="E90" s="12"/>
      <c r="F90" s="7">
        <v>6.3</v>
      </c>
      <c r="G90" s="13">
        <v>80</v>
      </c>
      <c r="H90" s="15">
        <v>0.08</v>
      </c>
      <c r="I90" s="13">
        <v>81</v>
      </c>
      <c r="J90" s="8"/>
      <c r="K90" s="17">
        <f>J90*F90</f>
        <v>0</v>
      </c>
      <c r="L90" s="17">
        <f t="shared" si="14"/>
        <v>0</v>
      </c>
      <c r="M90" s="16">
        <f>J90*I90</f>
        <v>0</v>
      </c>
      <c r="N90" s="18">
        <f>M90+J90</f>
        <v>0</v>
      </c>
    </row>
    <row r="91" s="2" customFormat="1" spans="1:14">
      <c r="A91" s="12"/>
      <c r="B91" s="19" t="s">
        <v>196</v>
      </c>
      <c r="C91" s="12" t="s">
        <v>218</v>
      </c>
      <c r="D91" s="13" t="s">
        <v>136</v>
      </c>
      <c r="E91" s="14" t="s">
        <v>197</v>
      </c>
      <c r="F91" s="7">
        <v>6.3</v>
      </c>
      <c r="G91" s="13">
        <v>68</v>
      </c>
      <c r="H91" s="15">
        <v>0.08</v>
      </c>
      <c r="I91" s="16">
        <f t="shared" ref="I91:I94" si="15">G91*(1+H91)</f>
        <v>73.44</v>
      </c>
      <c r="J91" s="8"/>
      <c r="K91" s="17">
        <f>J91*F91</f>
        <v>0</v>
      </c>
      <c r="L91" s="17">
        <f t="shared" si="14"/>
        <v>0</v>
      </c>
      <c r="M91" s="16">
        <f>J91*I91</f>
        <v>0</v>
      </c>
      <c r="N91" s="18">
        <f>M91+J91</f>
        <v>0</v>
      </c>
    </row>
    <row r="92" s="2" customFormat="1" spans="1:14">
      <c r="A92" s="12"/>
      <c r="B92" s="19" t="s">
        <v>198</v>
      </c>
      <c r="C92" s="12" t="s">
        <v>218</v>
      </c>
      <c r="D92" s="13" t="s">
        <v>136</v>
      </c>
      <c r="E92" s="14" t="s">
        <v>197</v>
      </c>
      <c r="F92" s="7">
        <v>7.5</v>
      </c>
      <c r="G92" s="13">
        <v>74</v>
      </c>
      <c r="H92" s="15">
        <v>0.08</v>
      </c>
      <c r="I92" s="16">
        <f t="shared" si="15"/>
        <v>79.92</v>
      </c>
      <c r="J92" s="8"/>
      <c r="K92" s="17">
        <f>J92*F92</f>
        <v>0</v>
      </c>
      <c r="L92" s="17">
        <f t="shared" si="14"/>
        <v>0</v>
      </c>
      <c r="M92" s="16">
        <f>J92*I92</f>
        <v>0</v>
      </c>
      <c r="N92" s="18">
        <f>M92+J92</f>
        <v>0</v>
      </c>
    </row>
    <row r="93" s="2" customFormat="1" spans="1:14">
      <c r="A93" s="12"/>
      <c r="B93" s="19" t="s">
        <v>199</v>
      </c>
      <c r="C93" s="12" t="s">
        <v>218</v>
      </c>
      <c r="D93" s="13" t="s">
        <v>136</v>
      </c>
      <c r="E93" s="14" t="s">
        <v>197</v>
      </c>
      <c r="F93" s="7">
        <v>7.5</v>
      </c>
      <c r="G93" s="13">
        <v>82</v>
      </c>
      <c r="H93" s="15">
        <v>0.08</v>
      </c>
      <c r="I93" s="16">
        <f t="shared" si="15"/>
        <v>88.56</v>
      </c>
      <c r="J93" s="8"/>
      <c r="K93" s="17">
        <f>J93*F93</f>
        <v>0</v>
      </c>
      <c r="L93" s="17">
        <f t="shared" si="14"/>
        <v>0</v>
      </c>
      <c r="M93" s="16">
        <f>J93*I93</f>
        <v>0</v>
      </c>
      <c r="N93" s="18">
        <f>M93+J93</f>
        <v>0</v>
      </c>
    </row>
    <row r="94" s="2" customFormat="1" spans="1:14">
      <c r="A94" s="12"/>
      <c r="B94" s="12" t="s">
        <v>200</v>
      </c>
      <c r="C94" s="12" t="s">
        <v>218</v>
      </c>
      <c r="D94" s="13" t="s">
        <v>136</v>
      </c>
      <c r="E94" s="14" t="s">
        <v>197</v>
      </c>
      <c r="F94" s="7">
        <v>8.1</v>
      </c>
      <c r="G94" s="13">
        <v>90</v>
      </c>
      <c r="H94" s="15">
        <v>0.08</v>
      </c>
      <c r="I94" s="16">
        <f t="shared" si="15"/>
        <v>97.2</v>
      </c>
      <c r="J94" s="8"/>
      <c r="K94" s="17">
        <f>J94*F94</f>
        <v>0</v>
      </c>
      <c r="L94" s="17">
        <f t="shared" si="14"/>
        <v>0</v>
      </c>
      <c r="M94" s="16">
        <f>J94*I94</f>
        <v>0</v>
      </c>
      <c r="N94" s="18">
        <f>M94+J94</f>
        <v>0</v>
      </c>
    </row>
    <row r="95" spans="1:14">
      <c r="A95" s="12"/>
      <c r="B95" s="12"/>
      <c r="C95" s="12"/>
      <c r="D95" s="12"/>
      <c r="E95" s="12"/>
      <c r="F95" s="7"/>
      <c r="G95" s="13"/>
      <c r="H95" s="15"/>
      <c r="I95" s="23" t="s">
        <v>219</v>
      </c>
      <c r="J95" s="24"/>
      <c r="K95" s="24"/>
      <c r="L95" s="17">
        <f t="shared" ref="L95:L98" si="16">K95+J95/2</f>
        <v>0</v>
      </c>
      <c r="M95" s="24"/>
      <c r="N95" s="24"/>
    </row>
    <row r="96" spans="1:14">
      <c r="A96" s="12"/>
      <c r="B96" s="10" t="s">
        <v>220</v>
      </c>
      <c r="C96" s="10"/>
      <c r="D96" s="10"/>
      <c r="E96" s="10"/>
      <c r="F96" s="11"/>
      <c r="G96" s="13"/>
      <c r="H96" s="15"/>
      <c r="I96" s="16"/>
      <c r="J96" s="8" t="s">
        <v>221</v>
      </c>
      <c r="K96" s="17"/>
      <c r="L96" s="17">
        <v>0</v>
      </c>
      <c r="M96" s="16"/>
      <c r="N96" s="18">
        <v>0</v>
      </c>
    </row>
    <row r="97" spans="1:14">
      <c r="A97" s="12"/>
      <c r="B97" s="19" t="s">
        <v>222</v>
      </c>
      <c r="C97" s="8" t="s">
        <v>91</v>
      </c>
      <c r="D97" s="13" t="s">
        <v>223</v>
      </c>
      <c r="E97" s="14" t="s">
        <v>197</v>
      </c>
      <c r="F97" s="7">
        <v>4.5</v>
      </c>
      <c r="G97" s="13">
        <v>50.5</v>
      </c>
      <c r="H97" s="15">
        <v>0.08</v>
      </c>
      <c r="I97" s="16">
        <f>G97*(1+H97)</f>
        <v>54.54</v>
      </c>
      <c r="J97" s="8"/>
      <c r="K97" s="17">
        <f>J97*F97</f>
        <v>0</v>
      </c>
      <c r="L97" s="17">
        <f t="shared" si="16"/>
        <v>0</v>
      </c>
      <c r="M97" s="16">
        <f>J97*I97</f>
        <v>0</v>
      </c>
      <c r="N97" s="18">
        <f>M97+J97</f>
        <v>0</v>
      </c>
    </row>
    <row r="98" spans="1:14">
      <c r="A98" s="12"/>
      <c r="B98" s="19" t="s">
        <v>222</v>
      </c>
      <c r="C98" s="12" t="s">
        <v>218</v>
      </c>
      <c r="D98" s="13" t="s">
        <v>223</v>
      </c>
      <c r="E98" s="14" t="s">
        <v>197</v>
      </c>
      <c r="F98" s="7">
        <v>4.5</v>
      </c>
      <c r="G98" s="13">
        <v>50.5</v>
      </c>
      <c r="H98" s="15">
        <v>0.08</v>
      </c>
      <c r="I98" s="16">
        <f>G98*(1+H98)</f>
        <v>54.54</v>
      </c>
      <c r="J98" s="8"/>
      <c r="K98" s="17">
        <f>J98*F98</f>
        <v>0</v>
      </c>
      <c r="L98" s="17">
        <f t="shared" si="16"/>
        <v>0</v>
      </c>
      <c r="M98" s="16">
        <f>J98*I98</f>
        <v>0</v>
      </c>
      <c r="N98" s="18">
        <f>M98+J98</f>
        <v>0</v>
      </c>
    </row>
    <row r="99" spans="1:14">
      <c r="A99" s="12"/>
      <c r="B99" s="12"/>
      <c r="C99" s="12"/>
      <c r="D99" s="12"/>
      <c r="E99" s="12"/>
      <c r="F99" s="7"/>
      <c r="G99" s="13"/>
      <c r="H99" s="15"/>
      <c r="I99" s="23" t="s">
        <v>219</v>
      </c>
      <c r="J99" s="24"/>
      <c r="K99" s="24"/>
      <c r="L99" s="17">
        <f t="shared" ref="L99:L161" si="17">K99+J99/2</f>
        <v>0</v>
      </c>
      <c r="M99" s="24"/>
      <c r="N99" s="24"/>
    </row>
    <row r="100" spans="1:14">
      <c r="A100" s="12"/>
      <c r="B100" s="12"/>
      <c r="C100" s="12"/>
      <c r="D100" s="12"/>
      <c r="E100" s="12"/>
      <c r="F100" s="7"/>
      <c r="G100" s="13"/>
      <c r="H100" s="15"/>
      <c r="I100" s="16"/>
      <c r="J100" s="8"/>
      <c r="K100" s="17"/>
      <c r="L100" s="17">
        <f t="shared" si="17"/>
        <v>0</v>
      </c>
      <c r="M100" s="16"/>
      <c r="N100" s="18"/>
    </row>
    <row r="101" spans="1:14">
      <c r="A101" s="12"/>
      <c r="B101" s="10" t="s">
        <v>224</v>
      </c>
      <c r="C101" s="10"/>
      <c r="D101" s="10"/>
      <c r="E101" s="10"/>
      <c r="F101" s="11"/>
      <c r="G101" s="13"/>
      <c r="H101" s="15"/>
      <c r="I101" s="16"/>
      <c r="J101" s="8"/>
      <c r="K101" s="17"/>
      <c r="L101" s="17">
        <f t="shared" si="17"/>
        <v>0</v>
      </c>
      <c r="M101" s="16"/>
      <c r="N101" s="18">
        <f t="shared" ref="N101:N114" si="18">M101+J101</f>
        <v>0</v>
      </c>
    </row>
    <row r="102" spans="1:14">
      <c r="A102" s="12"/>
      <c r="B102" s="19" t="s">
        <v>225</v>
      </c>
      <c r="C102" s="8" t="s">
        <v>91</v>
      </c>
      <c r="D102" s="13" t="s">
        <v>126</v>
      </c>
      <c r="E102" s="14" t="s">
        <v>197</v>
      </c>
      <c r="F102" s="7">
        <v>4.5</v>
      </c>
      <c r="G102" s="13">
        <v>51</v>
      </c>
      <c r="H102" s="15">
        <v>0.08</v>
      </c>
      <c r="I102" s="16">
        <f t="shared" ref="I102:I114" si="19">G102*(1+H102)</f>
        <v>55.08</v>
      </c>
      <c r="J102" s="8"/>
      <c r="K102" s="17">
        <f t="shared" ref="K102:K114" si="20">J102*F102</f>
        <v>0</v>
      </c>
      <c r="L102" s="17">
        <f t="shared" si="17"/>
        <v>0</v>
      </c>
      <c r="M102" s="16">
        <f t="shared" ref="M102:M114" si="21">J102*I102</f>
        <v>0</v>
      </c>
      <c r="N102" s="18">
        <f t="shared" si="18"/>
        <v>0</v>
      </c>
    </row>
    <row r="103" ht="14" customHeight="1" spans="1:14">
      <c r="A103" s="12"/>
      <c r="B103" s="12" t="s">
        <v>226</v>
      </c>
      <c r="C103" s="8" t="s">
        <v>91</v>
      </c>
      <c r="D103" s="13" t="s">
        <v>126</v>
      </c>
      <c r="E103" s="14" t="s">
        <v>197</v>
      </c>
      <c r="F103" s="7">
        <v>4.5</v>
      </c>
      <c r="G103" s="13">
        <v>54</v>
      </c>
      <c r="H103" s="15">
        <v>0.08</v>
      </c>
      <c r="I103" s="16">
        <f t="shared" si="19"/>
        <v>58.32</v>
      </c>
      <c r="J103" s="8"/>
      <c r="K103" s="17">
        <f t="shared" si="20"/>
        <v>0</v>
      </c>
      <c r="L103" s="17">
        <f t="shared" si="17"/>
        <v>0</v>
      </c>
      <c r="M103" s="16">
        <f t="shared" si="21"/>
        <v>0</v>
      </c>
      <c r="N103" s="18">
        <f t="shared" si="18"/>
        <v>0</v>
      </c>
    </row>
    <row r="104" spans="1:14">
      <c r="A104" s="12"/>
      <c r="B104" s="19" t="s">
        <v>227</v>
      </c>
      <c r="C104" s="8" t="s">
        <v>91</v>
      </c>
      <c r="D104" s="13" t="s">
        <v>126</v>
      </c>
      <c r="E104" s="14" t="s">
        <v>197</v>
      </c>
      <c r="F104" s="7">
        <v>5.5</v>
      </c>
      <c r="G104" s="13">
        <v>61</v>
      </c>
      <c r="H104" s="15">
        <v>0.08</v>
      </c>
      <c r="I104" s="16">
        <f t="shared" si="19"/>
        <v>65.88</v>
      </c>
      <c r="J104" s="8"/>
      <c r="K104" s="17">
        <f t="shared" si="20"/>
        <v>0</v>
      </c>
      <c r="L104" s="17">
        <f t="shared" si="17"/>
        <v>0</v>
      </c>
      <c r="M104" s="16">
        <f t="shared" si="21"/>
        <v>0</v>
      </c>
      <c r="N104" s="18">
        <f t="shared" si="18"/>
        <v>0</v>
      </c>
    </row>
    <row r="105" spans="1:14">
      <c r="A105" s="12"/>
      <c r="B105" s="19" t="s">
        <v>228</v>
      </c>
      <c r="C105" s="8" t="s">
        <v>91</v>
      </c>
      <c r="D105" s="13" t="s">
        <v>126</v>
      </c>
      <c r="E105" s="14" t="s">
        <v>197</v>
      </c>
      <c r="F105" s="7">
        <v>5.5</v>
      </c>
      <c r="G105" s="13">
        <v>64</v>
      </c>
      <c r="H105" s="15">
        <v>0.08</v>
      </c>
      <c r="I105" s="16">
        <f t="shared" si="19"/>
        <v>69.12</v>
      </c>
      <c r="J105" s="8"/>
      <c r="K105" s="17">
        <f t="shared" si="20"/>
        <v>0</v>
      </c>
      <c r="L105" s="17">
        <f t="shared" si="17"/>
        <v>0</v>
      </c>
      <c r="M105" s="16">
        <f t="shared" si="21"/>
        <v>0</v>
      </c>
      <c r="N105" s="18">
        <f t="shared" si="18"/>
        <v>0</v>
      </c>
    </row>
    <row r="106" spans="1:14">
      <c r="A106" s="12"/>
      <c r="B106" s="19" t="s">
        <v>229</v>
      </c>
      <c r="C106" s="8" t="s">
        <v>91</v>
      </c>
      <c r="D106" s="13" t="s">
        <v>126</v>
      </c>
      <c r="E106" s="14" t="s">
        <v>197</v>
      </c>
      <c r="F106" s="7"/>
      <c r="G106" s="13"/>
      <c r="H106" s="15">
        <v>0.08</v>
      </c>
      <c r="I106" s="16"/>
      <c r="J106" s="8"/>
      <c r="K106" s="17">
        <f t="shared" si="20"/>
        <v>0</v>
      </c>
      <c r="L106" s="17">
        <f t="shared" si="17"/>
        <v>0</v>
      </c>
      <c r="M106" s="16">
        <f t="shared" si="21"/>
        <v>0</v>
      </c>
      <c r="N106" s="18">
        <f t="shared" si="18"/>
        <v>0</v>
      </c>
    </row>
    <row r="107" spans="1:14">
      <c r="A107" s="12"/>
      <c r="B107" s="19" t="s">
        <v>230</v>
      </c>
      <c r="C107" s="8" t="s">
        <v>91</v>
      </c>
      <c r="D107" s="13" t="s">
        <v>126</v>
      </c>
      <c r="E107" s="14" t="s">
        <v>197</v>
      </c>
      <c r="F107" s="7">
        <v>6.5</v>
      </c>
      <c r="G107" s="13">
        <v>69</v>
      </c>
      <c r="H107" s="15">
        <v>0.08</v>
      </c>
      <c r="I107" s="16">
        <f t="shared" si="19"/>
        <v>74.52</v>
      </c>
      <c r="J107" s="8"/>
      <c r="K107" s="17">
        <f t="shared" si="20"/>
        <v>0</v>
      </c>
      <c r="L107" s="17">
        <f t="shared" si="17"/>
        <v>0</v>
      </c>
      <c r="M107" s="16">
        <f t="shared" si="21"/>
        <v>0</v>
      </c>
      <c r="N107" s="18">
        <f t="shared" si="18"/>
        <v>0</v>
      </c>
    </row>
    <row r="108" spans="1:14">
      <c r="A108" s="12"/>
      <c r="B108" s="12" t="s">
        <v>231</v>
      </c>
      <c r="C108" s="8" t="s">
        <v>91</v>
      </c>
      <c r="D108" s="13" t="s">
        <v>126</v>
      </c>
      <c r="E108" s="14" t="s">
        <v>197</v>
      </c>
      <c r="F108" s="7">
        <v>6.5</v>
      </c>
      <c r="G108" s="13">
        <v>72</v>
      </c>
      <c r="H108" s="15">
        <v>0.08</v>
      </c>
      <c r="I108" s="16">
        <f t="shared" si="19"/>
        <v>77.76</v>
      </c>
      <c r="J108" s="8"/>
      <c r="K108" s="17">
        <f t="shared" si="20"/>
        <v>0</v>
      </c>
      <c r="L108" s="17">
        <f t="shared" si="17"/>
        <v>0</v>
      </c>
      <c r="M108" s="16">
        <f t="shared" si="21"/>
        <v>0</v>
      </c>
      <c r="N108" s="18">
        <f t="shared" si="18"/>
        <v>0</v>
      </c>
    </row>
    <row r="109" spans="1:14">
      <c r="A109" s="12"/>
      <c r="B109" s="19" t="s">
        <v>232</v>
      </c>
      <c r="C109" s="8" t="s">
        <v>91</v>
      </c>
      <c r="D109" s="13" t="s">
        <v>126</v>
      </c>
      <c r="E109" s="14" t="s">
        <v>197</v>
      </c>
      <c r="F109" s="7">
        <v>8.5</v>
      </c>
      <c r="G109" s="13">
        <v>90</v>
      </c>
      <c r="H109" s="15">
        <v>0.08</v>
      </c>
      <c r="I109" s="16">
        <f t="shared" si="19"/>
        <v>97.2</v>
      </c>
      <c r="J109" s="8"/>
      <c r="K109" s="17">
        <f t="shared" si="20"/>
        <v>0</v>
      </c>
      <c r="L109" s="17">
        <f t="shared" si="17"/>
        <v>0</v>
      </c>
      <c r="M109" s="16">
        <f t="shared" si="21"/>
        <v>0</v>
      </c>
      <c r="N109" s="18">
        <f t="shared" si="18"/>
        <v>0</v>
      </c>
    </row>
    <row r="110" spans="1:14">
      <c r="A110" s="12"/>
      <c r="B110" s="19" t="s">
        <v>233</v>
      </c>
      <c r="C110" s="8" t="s">
        <v>91</v>
      </c>
      <c r="D110" s="13" t="s">
        <v>126</v>
      </c>
      <c r="E110" s="14" t="s">
        <v>197</v>
      </c>
      <c r="F110" s="7">
        <v>8.5</v>
      </c>
      <c r="G110" s="13">
        <v>93</v>
      </c>
      <c r="H110" s="15">
        <v>0.08</v>
      </c>
      <c r="I110" s="16">
        <f t="shared" si="19"/>
        <v>100.44</v>
      </c>
      <c r="J110" s="32"/>
      <c r="K110" s="17">
        <f t="shared" si="20"/>
        <v>0</v>
      </c>
      <c r="L110" s="17">
        <f t="shared" si="17"/>
        <v>0</v>
      </c>
      <c r="M110" s="16">
        <f t="shared" si="21"/>
        <v>0</v>
      </c>
      <c r="N110" s="18">
        <f t="shared" si="18"/>
        <v>0</v>
      </c>
    </row>
    <row r="111" spans="1:14">
      <c r="A111" s="12"/>
      <c r="B111" s="12" t="s">
        <v>234</v>
      </c>
      <c r="C111" s="8" t="s">
        <v>91</v>
      </c>
      <c r="D111" s="13" t="s">
        <v>126</v>
      </c>
      <c r="E111" s="14" t="s">
        <v>129</v>
      </c>
      <c r="F111" s="7"/>
      <c r="G111" s="13"/>
      <c r="H111" s="15">
        <v>0.08</v>
      </c>
      <c r="I111" s="16"/>
      <c r="J111" s="8"/>
      <c r="K111" s="17">
        <f t="shared" si="20"/>
        <v>0</v>
      </c>
      <c r="L111" s="17">
        <f t="shared" si="17"/>
        <v>0</v>
      </c>
      <c r="M111" s="16">
        <f t="shared" si="21"/>
        <v>0</v>
      </c>
      <c r="N111" s="18">
        <f t="shared" si="18"/>
        <v>0</v>
      </c>
    </row>
    <row r="112" spans="1:14">
      <c r="A112" s="12"/>
      <c r="B112" s="19" t="s">
        <v>235</v>
      </c>
      <c r="C112" s="8" t="s">
        <v>91</v>
      </c>
      <c r="D112" s="13" t="s">
        <v>126</v>
      </c>
      <c r="E112" s="14" t="s">
        <v>129</v>
      </c>
      <c r="F112" s="7">
        <v>6.8</v>
      </c>
      <c r="G112" s="13">
        <v>71</v>
      </c>
      <c r="H112" s="15">
        <v>0.08</v>
      </c>
      <c r="I112" s="16">
        <f t="shared" si="19"/>
        <v>76.68</v>
      </c>
      <c r="J112" s="8"/>
      <c r="K112" s="17">
        <f t="shared" si="20"/>
        <v>0</v>
      </c>
      <c r="L112" s="17">
        <f t="shared" si="17"/>
        <v>0</v>
      </c>
      <c r="M112" s="16">
        <f t="shared" si="21"/>
        <v>0</v>
      </c>
      <c r="N112" s="18">
        <f t="shared" si="18"/>
        <v>0</v>
      </c>
    </row>
    <row r="113" spans="1:14">
      <c r="A113" s="12"/>
      <c r="B113" s="19" t="s">
        <v>236</v>
      </c>
      <c r="C113" s="8" t="s">
        <v>91</v>
      </c>
      <c r="D113" s="13" t="s">
        <v>126</v>
      </c>
      <c r="E113" s="14" t="s">
        <v>129</v>
      </c>
      <c r="F113" s="7">
        <v>6.8</v>
      </c>
      <c r="G113" s="13">
        <v>74</v>
      </c>
      <c r="H113" s="15">
        <v>0.08</v>
      </c>
      <c r="I113" s="16">
        <f t="shared" si="19"/>
        <v>79.92</v>
      </c>
      <c r="J113" s="8"/>
      <c r="K113" s="17">
        <f t="shared" si="20"/>
        <v>0</v>
      </c>
      <c r="L113" s="17">
        <f t="shared" si="17"/>
        <v>0</v>
      </c>
      <c r="M113" s="16">
        <f t="shared" si="21"/>
        <v>0</v>
      </c>
      <c r="N113" s="18">
        <f t="shared" si="18"/>
        <v>0</v>
      </c>
    </row>
    <row r="114" spans="1:14">
      <c r="A114" s="12"/>
      <c r="B114" s="12" t="s">
        <v>237</v>
      </c>
      <c r="C114" s="8" t="s">
        <v>91</v>
      </c>
      <c r="D114" s="13" t="s">
        <v>126</v>
      </c>
      <c r="E114" s="14" t="s">
        <v>129</v>
      </c>
      <c r="F114" s="7"/>
      <c r="G114" s="13"/>
      <c r="H114" s="15">
        <v>0.08</v>
      </c>
      <c r="I114" s="16"/>
      <c r="J114" s="8"/>
      <c r="K114" s="17">
        <f t="shared" si="20"/>
        <v>0</v>
      </c>
      <c r="L114" s="17">
        <f t="shared" si="17"/>
        <v>0</v>
      </c>
      <c r="M114" s="16">
        <f t="shared" si="21"/>
        <v>0</v>
      </c>
      <c r="N114" s="18">
        <f t="shared" si="18"/>
        <v>0</v>
      </c>
    </row>
    <row r="115" spans="1:14">
      <c r="A115" s="12"/>
      <c r="B115" s="12"/>
      <c r="C115" s="12"/>
      <c r="D115" s="12"/>
      <c r="E115" s="12"/>
      <c r="F115" s="7"/>
      <c r="G115" s="13"/>
      <c r="H115" s="15"/>
      <c r="I115" s="23" t="s">
        <v>219</v>
      </c>
      <c r="J115" s="24"/>
      <c r="K115" s="24"/>
      <c r="L115" s="17">
        <f t="shared" si="17"/>
        <v>0</v>
      </c>
      <c r="M115" s="24"/>
      <c r="N115" s="24"/>
    </row>
    <row r="116" spans="1:14">
      <c r="A116" s="12"/>
      <c r="F116" s="7"/>
      <c r="G116" s="13"/>
      <c r="H116" s="15"/>
      <c r="I116" s="16"/>
      <c r="J116" s="8"/>
      <c r="K116" s="17"/>
      <c r="L116" s="17">
        <f t="shared" si="17"/>
        <v>0</v>
      </c>
      <c r="M116" s="16"/>
      <c r="N116" s="18">
        <f t="shared" ref="N116:N123" si="22">M116+J116</f>
        <v>0</v>
      </c>
    </row>
    <row r="117" spans="1:14">
      <c r="A117" s="12"/>
      <c r="B117" s="10" t="s">
        <v>238</v>
      </c>
      <c r="C117" s="10"/>
      <c r="D117" s="10"/>
      <c r="E117" s="10"/>
      <c r="F117" s="11"/>
      <c r="G117" s="13"/>
      <c r="H117" s="15"/>
      <c r="I117" s="16"/>
      <c r="J117" s="4"/>
      <c r="K117" s="17"/>
      <c r="L117" s="17">
        <f t="shared" si="17"/>
        <v>0</v>
      </c>
      <c r="M117" s="16"/>
      <c r="N117" s="18">
        <f t="shared" si="22"/>
        <v>0</v>
      </c>
    </row>
    <row r="118" spans="1:14">
      <c r="A118" s="12"/>
      <c r="B118" s="19" t="s">
        <v>239</v>
      </c>
      <c r="C118" s="8" t="s">
        <v>91</v>
      </c>
      <c r="D118" s="13" t="s">
        <v>123</v>
      </c>
      <c r="E118" s="14" t="s">
        <v>197</v>
      </c>
      <c r="F118" s="7">
        <v>2.5</v>
      </c>
      <c r="G118" s="13">
        <v>31.5</v>
      </c>
      <c r="H118" s="15">
        <v>0.08</v>
      </c>
      <c r="I118" s="16">
        <f t="shared" ref="I118:I123" si="23">G118*(1+H118)</f>
        <v>34.02</v>
      </c>
      <c r="J118" s="8"/>
      <c r="K118" s="17">
        <f t="shared" ref="K118:K123" si="24">J118*F118</f>
        <v>0</v>
      </c>
      <c r="L118" s="17">
        <f t="shared" si="17"/>
        <v>0</v>
      </c>
      <c r="M118" s="16">
        <f t="shared" ref="M118:M123" si="25">J118*I118</f>
        <v>0</v>
      </c>
      <c r="N118" s="18">
        <f t="shared" si="22"/>
        <v>0</v>
      </c>
    </row>
    <row r="119" spans="1:14">
      <c r="A119" s="12"/>
      <c r="B119" s="19" t="s">
        <v>240</v>
      </c>
      <c r="C119" s="8" t="s">
        <v>91</v>
      </c>
      <c r="D119" s="13" t="s">
        <v>123</v>
      </c>
      <c r="E119" s="14" t="s">
        <v>197</v>
      </c>
      <c r="F119" s="7">
        <v>3.5</v>
      </c>
      <c r="G119" s="13">
        <v>42.5</v>
      </c>
      <c r="H119" s="15">
        <v>0.08</v>
      </c>
      <c r="I119" s="16">
        <f t="shared" si="23"/>
        <v>45.9</v>
      </c>
      <c r="J119" s="8"/>
      <c r="K119" s="17">
        <f t="shared" si="24"/>
        <v>0</v>
      </c>
      <c r="L119" s="17">
        <f t="shared" si="17"/>
        <v>0</v>
      </c>
      <c r="M119" s="16">
        <f t="shared" si="25"/>
        <v>0</v>
      </c>
      <c r="N119" s="18">
        <f t="shared" si="22"/>
        <v>0</v>
      </c>
    </row>
    <row r="120" spans="1:14">
      <c r="A120" s="12"/>
      <c r="B120" s="19" t="s">
        <v>241</v>
      </c>
      <c r="C120" s="8" t="s">
        <v>91</v>
      </c>
      <c r="D120" s="13" t="s">
        <v>123</v>
      </c>
      <c r="E120" s="14" t="s">
        <v>129</v>
      </c>
      <c r="F120" s="7">
        <v>3.9</v>
      </c>
      <c r="G120" s="13">
        <v>47</v>
      </c>
      <c r="H120" s="15">
        <v>0.08</v>
      </c>
      <c r="I120" s="16">
        <f t="shared" si="23"/>
        <v>50.76</v>
      </c>
      <c r="J120" s="4"/>
      <c r="K120" s="17">
        <f t="shared" si="24"/>
        <v>0</v>
      </c>
      <c r="L120" s="17">
        <f t="shared" si="17"/>
        <v>0</v>
      </c>
      <c r="M120" s="16">
        <f t="shared" si="25"/>
        <v>0</v>
      </c>
      <c r="N120" s="18">
        <f t="shared" si="22"/>
        <v>0</v>
      </c>
    </row>
    <row r="121" spans="1:14">
      <c r="B121" s="19" t="s">
        <v>242</v>
      </c>
      <c r="C121" s="8" t="s">
        <v>91</v>
      </c>
      <c r="D121" s="13" t="s">
        <v>123</v>
      </c>
      <c r="E121" s="12"/>
      <c r="F121" s="7">
        <v>4</v>
      </c>
      <c r="G121" s="13">
        <v>52</v>
      </c>
      <c r="H121" s="33">
        <v>0.095</v>
      </c>
      <c r="I121" s="16">
        <f t="shared" si="23"/>
        <v>56.94</v>
      </c>
      <c r="J121" s="4"/>
      <c r="K121" s="17">
        <f t="shared" si="24"/>
        <v>0</v>
      </c>
      <c r="L121" s="17">
        <f t="shared" si="17"/>
        <v>0</v>
      </c>
      <c r="M121" s="16">
        <f t="shared" si="25"/>
        <v>0</v>
      </c>
      <c r="N121" s="18">
        <f t="shared" si="22"/>
        <v>0</v>
      </c>
    </row>
    <row r="122" spans="1:14">
      <c r="B122" s="12" t="s">
        <v>243</v>
      </c>
      <c r="C122" s="8" t="s">
        <v>91</v>
      </c>
      <c r="D122" s="13" t="s">
        <v>123</v>
      </c>
      <c r="E122" s="12"/>
      <c r="F122" s="7">
        <v>3</v>
      </c>
      <c r="G122" s="13">
        <v>34</v>
      </c>
      <c r="H122" s="33">
        <v>0.095</v>
      </c>
      <c r="I122" s="16">
        <f t="shared" si="23"/>
        <v>37.23</v>
      </c>
      <c r="J122" s="4"/>
      <c r="K122" s="17">
        <f t="shared" si="24"/>
        <v>0</v>
      </c>
      <c r="L122" s="17">
        <f t="shared" si="17"/>
        <v>0</v>
      </c>
      <c r="M122" s="16">
        <f t="shared" si="25"/>
        <v>0</v>
      </c>
      <c r="N122" s="18">
        <f t="shared" si="22"/>
        <v>0</v>
      </c>
    </row>
    <row r="123" s="3" customFormat="1" spans="1:14">
      <c r="A123" s="26"/>
      <c r="B123" s="19" t="s">
        <v>244</v>
      </c>
      <c r="C123" s="8" t="s">
        <v>91</v>
      </c>
      <c r="D123" s="13" t="s">
        <v>123</v>
      </c>
      <c r="E123" s="12"/>
      <c r="F123" s="34">
        <v>2.5</v>
      </c>
      <c r="G123" s="27">
        <v>40.5</v>
      </c>
      <c r="H123" s="35">
        <v>0.1</v>
      </c>
      <c r="I123" s="16">
        <f t="shared" si="23"/>
        <v>44.55</v>
      </c>
      <c r="J123" s="8"/>
      <c r="K123" s="17">
        <f t="shared" si="24"/>
        <v>0</v>
      </c>
      <c r="L123" s="17">
        <f t="shared" si="17"/>
        <v>0</v>
      </c>
      <c r="M123" s="16">
        <f t="shared" si="25"/>
        <v>0</v>
      </c>
      <c r="N123" s="18">
        <f t="shared" si="22"/>
        <v>0</v>
      </c>
    </row>
    <row r="124" spans="1:14">
      <c r="B124" s="12"/>
      <c r="C124" s="12"/>
      <c r="D124" s="12"/>
      <c r="E124" s="12"/>
      <c r="I124" s="36" t="s">
        <v>219</v>
      </c>
      <c r="J124" s="36"/>
      <c r="K124" s="36"/>
      <c r="L124" s="17">
        <f t="shared" si="17"/>
        <v>0</v>
      </c>
      <c r="M124" s="36"/>
      <c r="N124" s="36"/>
    </row>
    <row r="125" spans="1:14">
      <c r="B125" s="10" t="s">
        <v>245</v>
      </c>
      <c r="C125" s="10"/>
      <c r="D125" s="10"/>
      <c r="E125" s="10"/>
      <c r="F125" s="11"/>
      <c r="L125" s="17">
        <f t="shared" si="17"/>
        <v>0</v>
      </c>
      <c r="N125" s="18">
        <f t="shared" ref="N125:N163" si="26">M125+J125</f>
        <v>0</v>
      </c>
    </row>
    <row r="126" spans="1:14">
      <c r="A126" s="12"/>
      <c r="B126" s="19" t="s">
        <v>246</v>
      </c>
      <c r="C126" s="8" t="s">
        <v>91</v>
      </c>
      <c r="D126" s="13" t="s">
        <v>143</v>
      </c>
      <c r="E126" s="14" t="s">
        <v>129</v>
      </c>
      <c r="F126" s="7">
        <v>4</v>
      </c>
      <c r="G126" s="13">
        <v>58</v>
      </c>
      <c r="H126" s="15">
        <v>0.08</v>
      </c>
      <c r="I126" s="16">
        <f>G126*(1+H126)</f>
        <v>62.64</v>
      </c>
      <c r="J126" s="8"/>
      <c r="K126" s="17">
        <f>J126*F126</f>
        <v>0</v>
      </c>
      <c r="L126" s="17">
        <f t="shared" si="17"/>
        <v>0</v>
      </c>
      <c r="M126" s="16">
        <f>J126*I126</f>
        <v>0</v>
      </c>
      <c r="N126" s="18">
        <f t="shared" si="26"/>
        <v>0</v>
      </c>
    </row>
    <row r="127" spans="1:14">
      <c r="A127" s="12"/>
      <c r="B127" s="12" t="s">
        <v>247</v>
      </c>
      <c r="C127" s="8" t="s">
        <v>91</v>
      </c>
      <c r="D127" s="13" t="s">
        <v>143</v>
      </c>
      <c r="E127" s="12"/>
      <c r="F127" s="7">
        <v>3.8</v>
      </c>
      <c r="G127" s="13">
        <v>75</v>
      </c>
      <c r="H127" s="15">
        <v>0.1</v>
      </c>
      <c r="I127" s="16">
        <f>G127*(1+H127)</f>
        <v>82.5</v>
      </c>
      <c r="J127" s="8"/>
      <c r="K127" s="17">
        <f>J127*F127</f>
        <v>0</v>
      </c>
      <c r="L127" s="17">
        <f t="shared" si="17"/>
        <v>0</v>
      </c>
      <c r="M127" s="16">
        <f>J127*I127</f>
        <v>0</v>
      </c>
      <c r="N127" s="18">
        <f t="shared" si="26"/>
        <v>0</v>
      </c>
    </row>
    <row r="128" spans="1:14">
      <c r="A128" s="12"/>
      <c r="B128" s="10" t="s">
        <v>248</v>
      </c>
      <c r="C128" s="10"/>
      <c r="D128" s="10"/>
      <c r="E128" s="10"/>
      <c r="F128" s="11"/>
      <c r="G128" s="13"/>
      <c r="H128" s="15"/>
      <c r="I128" s="16"/>
      <c r="J128" s="8"/>
      <c r="K128" s="17"/>
      <c r="L128" s="17">
        <f t="shared" si="17"/>
        <v>0</v>
      </c>
      <c r="M128" s="16"/>
      <c r="N128" s="18">
        <f t="shared" si="26"/>
        <v>0</v>
      </c>
    </row>
    <row r="129" spans="1:14">
      <c r="A129" s="12"/>
      <c r="B129" s="2" t="s">
        <v>249</v>
      </c>
      <c r="C129" s="8" t="s">
        <v>100</v>
      </c>
      <c r="D129" s="13" t="s">
        <v>250</v>
      </c>
      <c r="E129" s="4">
        <v>1000</v>
      </c>
      <c r="F129" s="7">
        <v>6</v>
      </c>
      <c r="G129" s="13">
        <v>163.5</v>
      </c>
      <c r="H129" s="15">
        <v>0.11</v>
      </c>
      <c r="I129" s="16">
        <f>G129*(1+H129)</f>
        <v>181.485</v>
      </c>
      <c r="J129" s="8"/>
      <c r="K129" s="17">
        <f>J129*F129</f>
        <v>0</v>
      </c>
      <c r="L129" s="17">
        <f t="shared" si="17"/>
        <v>0</v>
      </c>
      <c r="M129" s="16">
        <f>J129*I129</f>
        <v>0</v>
      </c>
      <c r="N129" s="18">
        <f t="shared" si="26"/>
        <v>0</v>
      </c>
    </row>
    <row r="130" spans="1:14">
      <c r="A130" s="12"/>
      <c r="B130" s="4" t="s">
        <v>251</v>
      </c>
      <c r="C130" s="8" t="s">
        <v>100</v>
      </c>
      <c r="D130" s="13" t="s">
        <v>250</v>
      </c>
      <c r="E130" s="4">
        <v>1000</v>
      </c>
      <c r="F130" s="7">
        <v>3.5</v>
      </c>
      <c r="G130" s="13">
        <v>159.1</v>
      </c>
      <c r="H130" s="15">
        <v>0.11</v>
      </c>
      <c r="I130" s="16">
        <f>G130*(1+H130)</f>
        <v>176.601</v>
      </c>
      <c r="J130" s="8"/>
      <c r="K130" s="17">
        <f>J130*F130</f>
        <v>0</v>
      </c>
      <c r="L130" s="17">
        <f t="shared" si="17"/>
        <v>0</v>
      </c>
      <c r="M130" s="16">
        <f>J130*I130</f>
        <v>0</v>
      </c>
      <c r="N130" s="18">
        <f t="shared" si="26"/>
        <v>0</v>
      </c>
    </row>
    <row r="131" spans="1:14">
      <c r="A131" s="12"/>
      <c r="B131" s="2" t="s">
        <v>252</v>
      </c>
      <c r="C131" s="8" t="s">
        <v>100</v>
      </c>
      <c r="D131" s="13" t="s">
        <v>250</v>
      </c>
      <c r="E131" s="4">
        <v>1000</v>
      </c>
      <c r="F131" s="7">
        <v>3.5</v>
      </c>
      <c r="G131" s="13">
        <v>124.7</v>
      </c>
      <c r="H131" s="15">
        <v>0.11</v>
      </c>
      <c r="I131" s="16">
        <f>G131*(1+H131)</f>
        <v>138.417</v>
      </c>
      <c r="J131" s="8"/>
      <c r="K131" s="17">
        <f>J131*F131</f>
        <v>0</v>
      </c>
      <c r="L131" s="17">
        <f t="shared" si="17"/>
        <v>0</v>
      </c>
      <c r="M131" s="16">
        <f>J131*I131</f>
        <v>0</v>
      </c>
      <c r="N131" s="18">
        <f t="shared" si="26"/>
        <v>0</v>
      </c>
    </row>
    <row r="132" spans="1:14">
      <c r="A132" s="12"/>
      <c r="B132" s="4" t="s">
        <v>253</v>
      </c>
      <c r="C132" s="8" t="s">
        <v>100</v>
      </c>
      <c r="D132" s="13" t="s">
        <v>250</v>
      </c>
      <c r="E132" s="4">
        <v>1000</v>
      </c>
      <c r="F132" s="7">
        <v>3.5</v>
      </c>
      <c r="G132" s="13">
        <v>93.5</v>
      </c>
      <c r="H132" s="15">
        <v>0.11</v>
      </c>
      <c r="I132" s="16">
        <f>G132*(1+H132)</f>
        <v>103.785</v>
      </c>
      <c r="J132" s="8"/>
      <c r="K132" s="17">
        <f>J132*F132</f>
        <v>0</v>
      </c>
      <c r="L132" s="17">
        <f t="shared" si="17"/>
        <v>0</v>
      </c>
      <c r="M132" s="16">
        <f>J132*I132</f>
        <v>0</v>
      </c>
      <c r="N132" s="18">
        <f t="shared" si="26"/>
        <v>0</v>
      </c>
    </row>
    <row r="133" spans="1:14">
      <c r="A133" s="12"/>
      <c r="B133" s="10" t="s">
        <v>254</v>
      </c>
      <c r="C133" s="10"/>
      <c r="D133" s="10"/>
      <c r="E133" s="10"/>
      <c r="F133" s="11"/>
      <c r="G133" s="13"/>
      <c r="H133" s="15"/>
      <c r="I133" s="16"/>
      <c r="J133" s="8"/>
      <c r="K133" s="17"/>
      <c r="L133" s="17">
        <f t="shared" si="17"/>
        <v>0</v>
      </c>
      <c r="M133" s="16"/>
      <c r="N133" s="18">
        <f t="shared" si="26"/>
        <v>0</v>
      </c>
    </row>
    <row r="134" spans="1:14">
      <c r="A134" s="14" t="s">
        <v>255</v>
      </c>
      <c r="B134" s="12" t="s">
        <v>256</v>
      </c>
      <c r="C134" s="8" t="s">
        <v>101</v>
      </c>
      <c r="D134" s="13" t="s">
        <v>257</v>
      </c>
      <c r="E134" s="14" t="s">
        <v>258</v>
      </c>
      <c r="F134" s="7">
        <v>8</v>
      </c>
      <c r="G134" s="13">
        <f t="shared" ref="G134:G141" si="27">I134/(1+H134)</f>
        <v>123.893805309735</v>
      </c>
      <c r="H134" s="15">
        <v>0.13</v>
      </c>
      <c r="I134" s="16">
        <v>140</v>
      </c>
      <c r="J134" s="8"/>
      <c r="K134" s="17">
        <f t="shared" ref="K134:K158" si="28">J134*F134</f>
        <v>0</v>
      </c>
      <c r="L134" s="17">
        <f t="shared" si="17"/>
        <v>0</v>
      </c>
      <c r="M134" s="16">
        <f t="shared" ref="M134:M158" si="29">J134*I134</f>
        <v>0</v>
      </c>
      <c r="N134" s="18">
        <f t="shared" si="26"/>
        <v>0</v>
      </c>
    </row>
    <row r="135" spans="1:14">
      <c r="A135" s="14" t="s">
        <v>255</v>
      </c>
      <c r="B135" s="14" t="s">
        <v>259</v>
      </c>
      <c r="C135" s="8" t="s">
        <v>101</v>
      </c>
      <c r="D135" s="13" t="s">
        <v>257</v>
      </c>
      <c r="E135" s="14" t="s">
        <v>197</v>
      </c>
      <c r="F135" s="7">
        <v>10.5</v>
      </c>
      <c r="G135" s="13">
        <f t="shared" si="27"/>
        <v>153.752212389381</v>
      </c>
      <c r="H135" s="15">
        <v>0.13</v>
      </c>
      <c r="I135" s="16">
        <v>173.74</v>
      </c>
      <c r="J135" s="8"/>
      <c r="K135" s="17">
        <f t="shared" si="28"/>
        <v>0</v>
      </c>
      <c r="L135" s="17">
        <f t="shared" si="17"/>
        <v>0</v>
      </c>
      <c r="M135" s="16">
        <f t="shared" si="29"/>
        <v>0</v>
      </c>
      <c r="N135" s="18">
        <f t="shared" si="26"/>
        <v>0</v>
      </c>
    </row>
    <row r="136" spans="1:14">
      <c r="A136" s="14" t="s">
        <v>255</v>
      </c>
      <c r="B136" s="14" t="s">
        <v>260</v>
      </c>
      <c r="C136" s="8" t="s">
        <v>101</v>
      </c>
      <c r="D136" s="13" t="s">
        <v>261</v>
      </c>
      <c r="E136" s="14" t="s">
        <v>119</v>
      </c>
      <c r="F136" s="7">
        <v>6</v>
      </c>
      <c r="G136" s="13">
        <f t="shared" si="27"/>
        <v>176.991150442478</v>
      </c>
      <c r="H136" s="15">
        <v>0.13</v>
      </c>
      <c r="I136" s="16">
        <v>200</v>
      </c>
      <c r="J136" s="8"/>
      <c r="K136" s="17">
        <f t="shared" si="28"/>
        <v>0</v>
      </c>
      <c r="L136" s="17">
        <f t="shared" si="17"/>
        <v>0</v>
      </c>
      <c r="M136" s="16">
        <f t="shared" si="29"/>
        <v>0</v>
      </c>
      <c r="N136" s="18">
        <f t="shared" si="26"/>
        <v>0</v>
      </c>
    </row>
    <row r="137" spans="1:14">
      <c r="A137" s="14" t="s">
        <v>255</v>
      </c>
      <c r="B137" s="14" t="s">
        <v>262</v>
      </c>
      <c r="C137" s="8" t="s">
        <v>101</v>
      </c>
      <c r="D137" s="13" t="s">
        <v>263</v>
      </c>
      <c r="E137" s="14" t="s">
        <v>119</v>
      </c>
      <c r="F137" s="7">
        <v>4</v>
      </c>
      <c r="G137" s="13">
        <f t="shared" si="27"/>
        <v>123.893805309735</v>
      </c>
      <c r="H137" s="15">
        <v>0.13</v>
      </c>
      <c r="I137" s="16">
        <v>140</v>
      </c>
      <c r="J137" s="8"/>
      <c r="K137" s="17">
        <f t="shared" si="28"/>
        <v>0</v>
      </c>
      <c r="L137" s="17">
        <f t="shared" si="17"/>
        <v>0</v>
      </c>
      <c r="M137" s="16">
        <f t="shared" si="29"/>
        <v>0</v>
      </c>
      <c r="N137" s="18">
        <f t="shared" si="26"/>
        <v>0</v>
      </c>
    </row>
    <row r="138" spans="1:14">
      <c r="A138" s="14" t="s">
        <v>255</v>
      </c>
      <c r="B138" s="14" t="s">
        <v>264</v>
      </c>
      <c r="C138" s="8" t="s">
        <v>101</v>
      </c>
      <c r="D138" s="13" t="s">
        <v>261</v>
      </c>
      <c r="E138" s="14" t="s">
        <v>119</v>
      </c>
      <c r="F138" s="7">
        <v>8</v>
      </c>
      <c r="G138" s="13">
        <f t="shared" si="27"/>
        <v>230.088495575221</v>
      </c>
      <c r="H138" s="15">
        <v>0.13</v>
      </c>
      <c r="I138" s="16">
        <v>260</v>
      </c>
      <c r="J138" s="8"/>
      <c r="K138" s="17">
        <f t="shared" si="28"/>
        <v>0</v>
      </c>
      <c r="L138" s="17">
        <f t="shared" si="17"/>
        <v>0</v>
      </c>
      <c r="M138" s="16">
        <f t="shared" si="29"/>
        <v>0</v>
      </c>
      <c r="N138" s="18">
        <f t="shared" si="26"/>
        <v>0</v>
      </c>
    </row>
    <row r="139" spans="1:14">
      <c r="A139" s="14" t="s">
        <v>255</v>
      </c>
      <c r="B139" s="14" t="s">
        <v>265</v>
      </c>
      <c r="C139" s="8" t="s">
        <v>101</v>
      </c>
      <c r="D139" s="13" t="s">
        <v>257</v>
      </c>
      <c r="E139" s="14" t="s">
        <v>197</v>
      </c>
      <c r="F139" s="7">
        <v>8</v>
      </c>
      <c r="G139" s="13">
        <f t="shared" si="27"/>
        <v>115.929203539823</v>
      </c>
      <c r="H139" s="15">
        <v>0.13</v>
      </c>
      <c r="I139" s="16">
        <v>131</v>
      </c>
      <c r="J139" s="8"/>
      <c r="K139" s="17">
        <f t="shared" si="28"/>
        <v>0</v>
      </c>
      <c r="L139" s="17">
        <f t="shared" si="17"/>
        <v>0</v>
      </c>
      <c r="M139" s="16">
        <f t="shared" si="29"/>
        <v>0</v>
      </c>
      <c r="N139" s="18">
        <f t="shared" si="26"/>
        <v>0</v>
      </c>
    </row>
    <row r="140" spans="1:14">
      <c r="A140" s="14" t="s">
        <v>255</v>
      </c>
      <c r="B140" s="14" t="s">
        <v>266</v>
      </c>
      <c r="C140" s="8" t="s">
        <v>101</v>
      </c>
      <c r="D140" s="13" t="s">
        <v>263</v>
      </c>
      <c r="E140" s="14" t="s">
        <v>119</v>
      </c>
      <c r="F140" s="7">
        <v>6</v>
      </c>
      <c r="G140" s="13">
        <f t="shared" si="27"/>
        <v>88.495575221239</v>
      </c>
      <c r="H140" s="15">
        <v>0.13</v>
      </c>
      <c r="I140" s="16">
        <v>100</v>
      </c>
      <c r="J140" s="8"/>
      <c r="K140" s="17">
        <f t="shared" si="28"/>
        <v>0</v>
      </c>
      <c r="L140" s="17">
        <f t="shared" si="17"/>
        <v>0</v>
      </c>
      <c r="M140" s="16">
        <f t="shared" si="29"/>
        <v>0</v>
      </c>
      <c r="N140" s="18">
        <f t="shared" si="26"/>
        <v>0</v>
      </c>
    </row>
    <row r="141" spans="1:14">
      <c r="A141" s="14"/>
      <c r="B141" s="14" t="s">
        <v>267</v>
      </c>
      <c r="C141" s="8" t="s">
        <v>268</v>
      </c>
      <c r="D141" s="13" t="s">
        <v>257</v>
      </c>
      <c r="E141" s="14" t="s">
        <v>258</v>
      </c>
      <c r="F141" s="7">
        <v>7</v>
      </c>
      <c r="G141" s="13">
        <f t="shared" si="27"/>
        <v>129.203539823009</v>
      </c>
      <c r="H141" s="15">
        <v>0.13</v>
      </c>
      <c r="I141" s="16">
        <v>146</v>
      </c>
      <c r="J141" s="8"/>
      <c r="K141" s="17">
        <f t="shared" si="28"/>
        <v>0</v>
      </c>
      <c r="L141" s="17">
        <f t="shared" si="17"/>
        <v>0</v>
      </c>
      <c r="M141" s="16">
        <f t="shared" si="29"/>
        <v>0</v>
      </c>
      <c r="N141" s="18">
        <f t="shared" si="26"/>
        <v>0</v>
      </c>
    </row>
    <row r="142" spans="1:14">
      <c r="A142" s="12"/>
      <c r="B142" s="12" t="s">
        <v>269</v>
      </c>
      <c r="C142" s="8" t="s">
        <v>268</v>
      </c>
      <c r="D142" s="13" t="s">
        <v>257</v>
      </c>
      <c r="E142" s="14" t="s">
        <v>258</v>
      </c>
      <c r="F142" s="7">
        <v>9.5</v>
      </c>
      <c r="G142" s="13">
        <v>140</v>
      </c>
      <c r="H142" s="15">
        <v>0.13</v>
      </c>
      <c r="I142" s="16">
        <f>G142*(1+H142)</f>
        <v>158.2</v>
      </c>
      <c r="J142" s="8"/>
      <c r="K142" s="17">
        <f t="shared" si="28"/>
        <v>0</v>
      </c>
      <c r="L142" s="17">
        <f t="shared" si="17"/>
        <v>0</v>
      </c>
      <c r="M142" s="16">
        <f t="shared" si="29"/>
        <v>0</v>
      </c>
      <c r="N142" s="18">
        <f t="shared" si="26"/>
        <v>0</v>
      </c>
    </row>
    <row r="143" s="3" customFormat="1" spans="1:14">
      <c r="A143" s="26"/>
      <c r="B143" s="12" t="s">
        <v>270</v>
      </c>
      <c r="C143" s="8" t="s">
        <v>268</v>
      </c>
      <c r="D143" s="13" t="s">
        <v>257</v>
      </c>
      <c r="E143" s="14" t="s">
        <v>197</v>
      </c>
      <c r="F143" s="34">
        <v>7.5</v>
      </c>
      <c r="G143" s="13">
        <f>I143/(1+H143)</f>
        <v>103.371681415929</v>
      </c>
      <c r="H143" s="35">
        <v>0.13</v>
      </c>
      <c r="I143" s="37">
        <v>116.81</v>
      </c>
      <c r="J143" s="34"/>
      <c r="K143" s="38">
        <f t="shared" si="28"/>
        <v>0</v>
      </c>
      <c r="L143" s="17">
        <f t="shared" si="17"/>
        <v>0</v>
      </c>
      <c r="M143" s="37">
        <f t="shared" si="29"/>
        <v>0</v>
      </c>
      <c r="N143" s="18">
        <f t="shared" si="26"/>
        <v>0</v>
      </c>
    </row>
    <row r="144" s="3" customFormat="1" spans="1:14">
      <c r="A144" s="26"/>
      <c r="B144" s="14" t="s">
        <v>271</v>
      </c>
      <c r="C144" s="12" t="s">
        <v>272</v>
      </c>
      <c r="D144" s="13" t="s">
        <v>263</v>
      </c>
      <c r="E144" s="14" t="s">
        <v>258</v>
      </c>
      <c r="F144" s="34">
        <v>4.5</v>
      </c>
      <c r="G144" s="13">
        <f>I144/(1+H144)</f>
        <v>132.743362831858</v>
      </c>
      <c r="H144" s="35">
        <v>0.13</v>
      </c>
      <c r="I144" s="37">
        <v>150</v>
      </c>
      <c r="J144" s="34"/>
      <c r="K144" s="38">
        <f t="shared" si="28"/>
        <v>0</v>
      </c>
      <c r="L144" s="17">
        <f t="shared" si="17"/>
        <v>0</v>
      </c>
      <c r="M144" s="37">
        <f t="shared" si="29"/>
        <v>0</v>
      </c>
      <c r="N144" s="18">
        <f t="shared" si="26"/>
        <v>0</v>
      </c>
    </row>
    <row r="145" s="3" customFormat="1" spans="1:15">
      <c r="A145" s="26"/>
      <c r="B145" s="14" t="s">
        <v>260</v>
      </c>
      <c r="C145" s="8" t="s">
        <v>96</v>
      </c>
      <c r="D145" s="13" t="s">
        <v>263</v>
      </c>
      <c r="E145" s="14" t="s">
        <v>119</v>
      </c>
      <c r="F145" s="34">
        <v>6</v>
      </c>
      <c r="G145" s="13">
        <v>145</v>
      </c>
      <c r="H145" s="35">
        <v>0.13</v>
      </c>
      <c r="I145" s="16">
        <f>G145*(1+H145)</f>
        <v>163.85</v>
      </c>
      <c r="J145" s="34"/>
      <c r="K145" s="38">
        <f t="shared" si="28"/>
        <v>0</v>
      </c>
      <c r="L145" s="17">
        <f t="shared" si="17"/>
        <v>0</v>
      </c>
      <c r="M145" s="37">
        <f t="shared" si="29"/>
        <v>0</v>
      </c>
      <c r="N145" s="18">
        <f t="shared" si="26"/>
        <v>0</v>
      </c>
    </row>
    <row r="146" s="3" customFormat="1" spans="1:15">
      <c r="A146" s="26"/>
      <c r="B146" s="14" t="s">
        <v>273</v>
      </c>
      <c r="C146" s="8" t="s">
        <v>96</v>
      </c>
      <c r="D146" s="13" t="s">
        <v>263</v>
      </c>
      <c r="E146" s="14" t="s">
        <v>119</v>
      </c>
      <c r="F146" s="34">
        <v>4</v>
      </c>
      <c r="G146" s="13">
        <v>101</v>
      </c>
      <c r="H146" s="35">
        <v>0.13</v>
      </c>
      <c r="I146" s="16">
        <f>G146*(1+H146)</f>
        <v>114.13</v>
      </c>
      <c r="J146" s="34"/>
      <c r="K146" s="38">
        <f t="shared" si="28"/>
        <v>0</v>
      </c>
      <c r="L146" s="17">
        <f t="shared" si="17"/>
        <v>0</v>
      </c>
      <c r="M146" s="37">
        <f t="shared" si="29"/>
        <v>0</v>
      </c>
      <c r="N146" s="18">
        <f t="shared" si="26"/>
        <v>0</v>
      </c>
    </row>
    <row r="147" s="3" customFormat="1" spans="1:15">
      <c r="A147" s="26"/>
      <c r="B147" s="12" t="s">
        <v>274</v>
      </c>
      <c r="C147" s="8" t="s">
        <v>96</v>
      </c>
      <c r="D147" s="13" t="s">
        <v>261</v>
      </c>
      <c r="E147" s="14" t="s">
        <v>119</v>
      </c>
      <c r="F147" s="34">
        <v>6</v>
      </c>
      <c r="G147" s="27">
        <v>115</v>
      </c>
      <c r="H147" s="35">
        <v>0.08</v>
      </c>
      <c r="I147" s="16">
        <f>G147*(1+H147)</f>
        <v>124.2</v>
      </c>
      <c r="J147" s="8"/>
      <c r="K147" s="17">
        <f t="shared" si="28"/>
        <v>0</v>
      </c>
      <c r="L147" s="17">
        <f t="shared" si="17"/>
        <v>0</v>
      </c>
      <c r="M147" s="16">
        <f t="shared" si="29"/>
        <v>0</v>
      </c>
      <c r="N147" s="18">
        <f t="shared" si="26"/>
        <v>0</v>
      </c>
    </row>
    <row r="148" s="3" customFormat="1" spans="1:15">
      <c r="A148" s="14"/>
      <c r="B148" s="14" t="s">
        <v>262</v>
      </c>
      <c r="C148" s="8" t="s">
        <v>96</v>
      </c>
      <c r="D148" s="13" t="s">
        <v>263</v>
      </c>
      <c r="E148" s="14" t="s">
        <v>119</v>
      </c>
      <c r="F148" s="7">
        <v>4</v>
      </c>
      <c r="G148" s="13">
        <f>I148/(1+H148)</f>
        <v>123.893805309735</v>
      </c>
      <c r="H148" s="15">
        <v>0.13</v>
      </c>
      <c r="I148" s="16">
        <v>140</v>
      </c>
      <c r="J148" s="8"/>
      <c r="K148" s="17">
        <f t="shared" si="28"/>
        <v>0</v>
      </c>
      <c r="L148" s="17">
        <f t="shared" si="17"/>
        <v>0</v>
      </c>
      <c r="M148" s="16">
        <f t="shared" si="29"/>
        <v>0</v>
      </c>
      <c r="N148" s="18">
        <f t="shared" si="26"/>
        <v>0</v>
      </c>
      <c r="O148" s="2"/>
    </row>
    <row r="149" s="3" customFormat="1" spans="1:15">
      <c r="A149" s="26"/>
      <c r="B149" s="12" t="s">
        <v>275</v>
      </c>
      <c r="C149" s="8" t="s">
        <v>276</v>
      </c>
      <c r="D149" s="13" t="s">
        <v>277</v>
      </c>
      <c r="E149" s="14"/>
      <c r="F149" s="34">
        <v>11</v>
      </c>
      <c r="G149" s="27">
        <f>I149-1</f>
        <v>177.5</v>
      </c>
      <c r="H149" s="35"/>
      <c r="I149" s="16">
        <v>178.5</v>
      </c>
      <c r="J149" s="8"/>
      <c r="K149" s="17">
        <f t="shared" si="28"/>
        <v>0</v>
      </c>
      <c r="L149" s="17">
        <f t="shared" si="17"/>
        <v>0</v>
      </c>
      <c r="M149" s="16">
        <f t="shared" si="29"/>
        <v>0</v>
      </c>
      <c r="N149" s="18">
        <f t="shared" si="26"/>
        <v>0</v>
      </c>
    </row>
    <row r="150" s="3" customFormat="1" spans="1:15">
      <c r="A150" s="26"/>
      <c r="B150" s="12" t="s">
        <v>278</v>
      </c>
      <c r="C150" s="8" t="s">
        <v>276</v>
      </c>
      <c r="D150" s="13" t="s">
        <v>279</v>
      </c>
      <c r="E150" s="14"/>
      <c r="F150" s="34">
        <v>8</v>
      </c>
      <c r="G150" s="27">
        <f>I150-1</f>
        <v>127.5</v>
      </c>
      <c r="H150" s="35"/>
      <c r="I150" s="16">
        <v>128.5</v>
      </c>
      <c r="J150" s="8"/>
      <c r="K150" s="17">
        <f t="shared" si="28"/>
        <v>0</v>
      </c>
      <c r="L150" s="17">
        <f t="shared" si="17"/>
        <v>0</v>
      </c>
      <c r="M150" s="16">
        <f t="shared" si="29"/>
        <v>0</v>
      </c>
      <c r="N150" s="18">
        <f t="shared" si="26"/>
        <v>0</v>
      </c>
    </row>
    <row r="151" s="3" customFormat="1" spans="1:15">
      <c r="A151" s="14"/>
      <c r="B151" s="14" t="s">
        <v>260</v>
      </c>
      <c r="C151" s="8" t="s">
        <v>280</v>
      </c>
      <c r="D151" s="13" t="s">
        <v>261</v>
      </c>
      <c r="E151" s="14" t="s">
        <v>119</v>
      </c>
      <c r="F151" s="7">
        <v>6</v>
      </c>
      <c r="G151" s="13">
        <f>I151/(1+H151)</f>
        <v>176.991150442478</v>
      </c>
      <c r="H151" s="15">
        <v>0.13</v>
      </c>
      <c r="I151" s="16">
        <v>200</v>
      </c>
      <c r="J151" s="8"/>
      <c r="K151" s="17">
        <f t="shared" si="28"/>
        <v>0</v>
      </c>
      <c r="L151" s="17">
        <f t="shared" si="17"/>
        <v>0</v>
      </c>
      <c r="M151" s="16">
        <f t="shared" si="29"/>
        <v>0</v>
      </c>
      <c r="N151" s="18">
        <f t="shared" si="26"/>
        <v>0</v>
      </c>
    </row>
    <row r="152" s="3" customFormat="1" spans="1:15">
      <c r="A152" s="14"/>
      <c r="B152" s="14" t="s">
        <v>262</v>
      </c>
      <c r="C152" s="8" t="s">
        <v>280</v>
      </c>
      <c r="D152" s="13" t="s">
        <v>263</v>
      </c>
      <c r="E152" s="14" t="s">
        <v>119</v>
      </c>
      <c r="F152" s="7">
        <v>4</v>
      </c>
      <c r="G152" s="13">
        <f>I152/(1+H152)</f>
        <v>123.893805309735</v>
      </c>
      <c r="H152" s="15">
        <v>0.13</v>
      </c>
      <c r="I152" s="16">
        <v>140</v>
      </c>
      <c r="J152" s="8"/>
      <c r="K152" s="17">
        <f t="shared" si="28"/>
        <v>0</v>
      </c>
      <c r="L152" s="17">
        <f t="shared" si="17"/>
        <v>0</v>
      </c>
      <c r="M152" s="16">
        <f t="shared" si="29"/>
        <v>0</v>
      </c>
      <c r="N152" s="18">
        <f t="shared" si="26"/>
        <v>0</v>
      </c>
    </row>
    <row r="153" s="3" customFormat="1" ht="13" customHeight="1" spans="1:15">
      <c r="A153" s="26"/>
      <c r="B153" s="12" t="s">
        <v>274</v>
      </c>
      <c r="C153" s="8" t="s">
        <v>280</v>
      </c>
      <c r="D153" s="13" t="s">
        <v>261</v>
      </c>
      <c r="E153" s="14" t="s">
        <v>119</v>
      </c>
      <c r="F153" s="7">
        <v>6</v>
      </c>
      <c r="G153" s="13">
        <v>115</v>
      </c>
      <c r="H153" s="15">
        <v>0.08</v>
      </c>
      <c r="I153" s="16">
        <f>G153*(1+H153)</f>
        <v>124.2</v>
      </c>
      <c r="J153" s="8"/>
      <c r="K153" s="17">
        <f t="shared" si="28"/>
        <v>0</v>
      </c>
      <c r="L153" s="17">
        <f t="shared" si="17"/>
        <v>0</v>
      </c>
      <c r="M153" s="16">
        <f t="shared" si="29"/>
        <v>0</v>
      </c>
      <c r="N153" s="18">
        <f t="shared" si="26"/>
        <v>0</v>
      </c>
    </row>
    <row r="154" s="3" customFormat="1" spans="1:15">
      <c r="A154" s="26"/>
      <c r="B154" s="19" t="s">
        <v>281</v>
      </c>
      <c r="C154" s="8" t="s">
        <v>280</v>
      </c>
      <c r="D154" s="13" t="s">
        <v>257</v>
      </c>
      <c r="E154" s="14" t="s">
        <v>258</v>
      </c>
      <c r="F154" s="7">
        <v>6</v>
      </c>
      <c r="G154" s="13">
        <f>I154-1</f>
        <v>107</v>
      </c>
      <c r="H154" s="15">
        <v>0.13</v>
      </c>
      <c r="I154" s="16">
        <v>108</v>
      </c>
      <c r="J154" s="8"/>
      <c r="K154" s="17">
        <f t="shared" si="28"/>
        <v>0</v>
      </c>
      <c r="L154" s="17">
        <f t="shared" si="17"/>
        <v>0</v>
      </c>
      <c r="M154" s="16">
        <f t="shared" si="29"/>
        <v>0</v>
      </c>
      <c r="N154" s="18">
        <f t="shared" si="26"/>
        <v>0</v>
      </c>
    </row>
    <row r="155" s="3" customFormat="1" spans="1:15">
      <c r="A155" s="26"/>
      <c r="B155" s="12" t="s">
        <v>270</v>
      </c>
      <c r="C155" s="8" t="s">
        <v>280</v>
      </c>
      <c r="D155" s="13" t="s">
        <v>257</v>
      </c>
      <c r="E155" s="14" t="s">
        <v>197</v>
      </c>
      <c r="F155" s="7">
        <v>7.5</v>
      </c>
      <c r="G155" s="13">
        <f>I155-1</f>
        <v>134</v>
      </c>
      <c r="H155" s="15">
        <v>0.13</v>
      </c>
      <c r="I155" s="39">
        <v>135</v>
      </c>
      <c r="J155" s="34"/>
      <c r="K155" s="38">
        <f t="shared" si="28"/>
        <v>0</v>
      </c>
      <c r="L155" s="17">
        <f t="shared" si="17"/>
        <v>0</v>
      </c>
      <c r="M155" s="37">
        <f t="shared" si="29"/>
        <v>0</v>
      </c>
      <c r="N155" s="18">
        <f t="shared" si="26"/>
        <v>0</v>
      </c>
    </row>
    <row r="156" s="3" customFormat="1" spans="1:15">
      <c r="A156" s="12"/>
      <c r="B156" s="19" t="s">
        <v>269</v>
      </c>
      <c r="C156" s="8" t="s">
        <v>101</v>
      </c>
      <c r="D156" s="13" t="s">
        <v>257</v>
      </c>
      <c r="E156" s="14" t="s">
        <v>258</v>
      </c>
      <c r="F156" s="7">
        <v>8</v>
      </c>
      <c r="G156" s="13">
        <f>I156-1</f>
        <v>150.2</v>
      </c>
      <c r="H156" s="15">
        <v>0.13</v>
      </c>
      <c r="I156" s="16">
        <v>151.2</v>
      </c>
      <c r="J156" s="8"/>
      <c r="K156" s="17">
        <f t="shared" si="28"/>
        <v>0</v>
      </c>
      <c r="L156" s="17">
        <f t="shared" si="17"/>
        <v>0</v>
      </c>
      <c r="M156" s="16">
        <f t="shared" si="29"/>
        <v>0</v>
      </c>
      <c r="N156" s="18">
        <f t="shared" si="26"/>
        <v>0</v>
      </c>
    </row>
    <row r="157" s="3" customFormat="1" spans="1:15">
      <c r="A157" s="26"/>
      <c r="B157" s="12" t="s">
        <v>282</v>
      </c>
      <c r="C157" s="8" t="s">
        <v>101</v>
      </c>
      <c r="D157" s="13" t="s">
        <v>257</v>
      </c>
      <c r="E157" s="14" t="s">
        <v>197</v>
      </c>
      <c r="F157" s="7">
        <v>7.5</v>
      </c>
      <c r="G157" s="13">
        <f>I157-1</f>
        <v>134</v>
      </c>
      <c r="H157" s="15">
        <v>0.13</v>
      </c>
      <c r="I157" s="16">
        <v>135</v>
      </c>
      <c r="J157" s="8"/>
      <c r="K157" s="38">
        <f t="shared" si="28"/>
        <v>0</v>
      </c>
      <c r="L157" s="17">
        <f t="shared" si="17"/>
        <v>0</v>
      </c>
      <c r="M157" s="37">
        <f t="shared" si="29"/>
        <v>0</v>
      </c>
      <c r="N157" s="18">
        <f t="shared" si="26"/>
        <v>0</v>
      </c>
    </row>
    <row r="158" s="3" customFormat="1" spans="1:15">
      <c r="A158" s="26"/>
      <c r="B158" s="12" t="s">
        <v>259</v>
      </c>
      <c r="C158" s="8" t="s">
        <v>101</v>
      </c>
      <c r="D158" s="13" t="s">
        <v>257</v>
      </c>
      <c r="E158" s="14" t="s">
        <v>197</v>
      </c>
      <c r="F158" s="7">
        <v>10.5</v>
      </c>
      <c r="G158" s="13">
        <f>I158-1</f>
        <v>177.2</v>
      </c>
      <c r="H158" s="15">
        <v>0.13</v>
      </c>
      <c r="I158" s="16">
        <v>178.2</v>
      </c>
      <c r="J158" s="8"/>
      <c r="K158" s="38">
        <f t="shared" si="28"/>
        <v>0</v>
      </c>
      <c r="L158" s="17">
        <f t="shared" si="17"/>
        <v>0</v>
      </c>
      <c r="M158" s="37">
        <f t="shared" si="29"/>
        <v>0</v>
      </c>
      <c r="N158" s="18">
        <f t="shared" si="26"/>
        <v>0</v>
      </c>
    </row>
    <row r="159" s="3" customFormat="1" spans="1:15">
      <c r="A159" s="26"/>
      <c r="B159" s="26"/>
      <c r="C159" s="26"/>
      <c r="D159" s="26"/>
      <c r="E159" s="26"/>
      <c r="F159" s="34"/>
      <c r="G159" s="27"/>
      <c r="H159" s="35"/>
      <c r="I159" s="16"/>
      <c r="J159" s="8"/>
      <c r="K159" s="17"/>
      <c r="L159" s="17">
        <f t="shared" si="17"/>
        <v>0</v>
      </c>
      <c r="M159" s="16"/>
      <c r="N159" s="18">
        <f t="shared" si="26"/>
        <v>0</v>
      </c>
    </row>
    <row r="160" s="3" customFormat="1" spans="1:15">
      <c r="A160" s="26"/>
      <c r="B160" s="10" t="s">
        <v>283</v>
      </c>
      <c r="C160" s="10"/>
      <c r="D160" s="10"/>
      <c r="E160" s="10"/>
      <c r="F160" s="11"/>
      <c r="G160" s="27"/>
      <c r="H160" s="35"/>
      <c r="I160" s="16"/>
      <c r="J160" s="8"/>
      <c r="K160" s="17"/>
      <c r="L160" s="17">
        <f t="shared" si="17"/>
        <v>0</v>
      </c>
      <c r="M160" s="16"/>
      <c r="N160" s="18">
        <f t="shared" si="26"/>
        <v>0</v>
      </c>
    </row>
    <row r="161" spans="1:14">
      <c r="B161" s="40" t="s">
        <v>284</v>
      </c>
      <c r="C161" s="8" t="s">
        <v>94</v>
      </c>
      <c r="D161" s="13" t="s">
        <v>261</v>
      </c>
      <c r="E161" s="41">
        <v>1000</v>
      </c>
      <c r="F161" s="7">
        <v>8</v>
      </c>
      <c r="G161" s="13">
        <v>90</v>
      </c>
      <c r="H161" s="15">
        <v>0.08</v>
      </c>
      <c r="I161" s="16">
        <f>G161*(1+H161)</f>
        <v>97.2</v>
      </c>
      <c r="J161" s="8"/>
      <c r="K161" s="17">
        <f>J161*F161</f>
        <v>0</v>
      </c>
      <c r="L161" s="17">
        <f t="shared" si="17"/>
        <v>0</v>
      </c>
      <c r="M161" s="16">
        <f>J161*I161</f>
        <v>0</v>
      </c>
      <c r="N161" s="18">
        <f t="shared" si="26"/>
        <v>0</v>
      </c>
    </row>
    <row r="162" spans="1:14">
      <c r="B162" s="40" t="s">
        <v>285</v>
      </c>
      <c r="C162" s="8" t="s">
        <v>94</v>
      </c>
      <c r="D162" s="13" t="s">
        <v>261</v>
      </c>
      <c r="E162" s="41">
        <v>1000</v>
      </c>
      <c r="F162" s="7">
        <v>8</v>
      </c>
      <c r="G162" s="13">
        <v>92</v>
      </c>
      <c r="H162" s="15">
        <v>0.08</v>
      </c>
      <c r="I162" s="16">
        <f>G162*(1+H162)</f>
        <v>99.36</v>
      </c>
      <c r="J162" s="8"/>
      <c r="K162" s="17">
        <f>J162*F162</f>
        <v>0</v>
      </c>
      <c r="L162" s="17">
        <f t="shared" ref="L162:L191" si="30">K162+J162/2</f>
        <v>0</v>
      </c>
      <c r="M162" s="16">
        <f>J162*I162</f>
        <v>0</v>
      </c>
      <c r="N162" s="18">
        <f t="shared" si="26"/>
        <v>0</v>
      </c>
    </row>
    <row r="163" spans="1:14">
      <c r="B163" s="40" t="s">
        <v>286</v>
      </c>
      <c r="C163" s="8" t="s">
        <v>94</v>
      </c>
      <c r="D163" s="13" t="s">
        <v>261</v>
      </c>
      <c r="E163" s="41">
        <v>1000</v>
      </c>
      <c r="F163" s="7">
        <v>7</v>
      </c>
      <c r="G163" s="13">
        <v>87</v>
      </c>
      <c r="H163" s="15">
        <v>0.08</v>
      </c>
      <c r="I163" s="16">
        <f>G163*(1+H163)</f>
        <v>93.96</v>
      </c>
      <c r="J163" s="8"/>
      <c r="K163" s="17">
        <f>J163*F163</f>
        <v>0</v>
      </c>
      <c r="L163" s="17">
        <f t="shared" si="30"/>
        <v>0</v>
      </c>
      <c r="M163" s="16">
        <f>J163*I163</f>
        <v>0</v>
      </c>
      <c r="N163" s="18">
        <f t="shared" si="26"/>
        <v>0</v>
      </c>
    </row>
    <row r="164" spans="1:14">
      <c r="B164" s="10" t="s">
        <v>287</v>
      </c>
      <c r="C164" s="10"/>
      <c r="D164" s="10"/>
      <c r="E164" s="10"/>
      <c r="F164" s="11"/>
      <c r="G164" s="13"/>
      <c r="H164" s="15"/>
      <c r="I164" s="16"/>
      <c r="J164" s="8"/>
      <c r="K164" s="17"/>
      <c r="L164" s="17">
        <f t="shared" si="30"/>
        <v>0</v>
      </c>
      <c r="M164" s="16"/>
      <c r="N164" s="18"/>
    </row>
    <row r="165" spans="1:14">
      <c r="B165" s="40" t="s">
        <v>288</v>
      </c>
      <c r="C165" s="8" t="s">
        <v>93</v>
      </c>
      <c r="D165" s="13" t="s">
        <v>277</v>
      </c>
      <c r="E165" s="41">
        <v>300</v>
      </c>
      <c r="F165" s="7">
        <v>4.65</v>
      </c>
      <c r="G165" s="13">
        <v>61.5</v>
      </c>
      <c r="H165" s="15">
        <v>0.1</v>
      </c>
      <c r="I165" s="16">
        <f>G165*(1+H165)</f>
        <v>67.65</v>
      </c>
      <c r="J165" s="8"/>
      <c r="K165" s="17">
        <f>J165*F165</f>
        <v>0</v>
      </c>
      <c r="L165" s="17">
        <f t="shared" si="30"/>
        <v>0</v>
      </c>
      <c r="M165" s="16">
        <f>J165*I165</f>
        <v>0</v>
      </c>
      <c r="N165" s="18">
        <f t="shared" ref="N165:N191" si="31">M165+J165</f>
        <v>0</v>
      </c>
    </row>
    <row r="166" spans="1:14">
      <c r="B166" s="40" t="s">
        <v>289</v>
      </c>
      <c r="C166" s="8" t="s">
        <v>93</v>
      </c>
      <c r="D166" s="13" t="s">
        <v>277</v>
      </c>
      <c r="E166" s="41">
        <v>300</v>
      </c>
      <c r="F166" s="7">
        <v>5.15</v>
      </c>
      <c r="G166" s="13">
        <v>64.5</v>
      </c>
      <c r="H166" s="15">
        <v>0.1</v>
      </c>
      <c r="I166" s="16">
        <f>G166*(1+H166)</f>
        <v>70.95</v>
      </c>
      <c r="J166" s="8"/>
      <c r="K166" s="17">
        <f>J166*F166</f>
        <v>0</v>
      </c>
      <c r="L166" s="17">
        <f t="shared" si="30"/>
        <v>0</v>
      </c>
      <c r="M166" s="16">
        <f>J166*I166</f>
        <v>0</v>
      </c>
      <c r="N166" s="18">
        <f t="shared" si="31"/>
        <v>0</v>
      </c>
    </row>
    <row r="167" s="3" customFormat="1" spans="1:14">
      <c r="A167" s="26"/>
      <c r="B167" s="36" t="s">
        <v>290</v>
      </c>
      <c r="C167" s="8" t="s">
        <v>93</v>
      </c>
      <c r="D167" s="13" t="s">
        <v>277</v>
      </c>
      <c r="E167" s="41">
        <v>300</v>
      </c>
      <c r="F167" s="7">
        <v>5.9</v>
      </c>
      <c r="G167" s="27">
        <v>76.5</v>
      </c>
      <c r="H167" s="35">
        <v>0.1</v>
      </c>
      <c r="I167" s="16">
        <f>G167*(1+H167)</f>
        <v>84.15</v>
      </c>
      <c r="J167" s="8"/>
      <c r="K167" s="17">
        <f>J167*F167</f>
        <v>0</v>
      </c>
      <c r="L167" s="17">
        <f t="shared" si="30"/>
        <v>0</v>
      </c>
      <c r="M167" s="16">
        <f>J167*I167</f>
        <v>0</v>
      </c>
      <c r="N167" s="18">
        <f t="shared" si="31"/>
        <v>0</v>
      </c>
    </row>
    <row r="168" s="3" customFormat="1" spans="1:14">
      <c r="A168" s="26"/>
      <c r="B168" s="2" t="s">
        <v>291</v>
      </c>
      <c r="C168" s="8" t="s">
        <v>93</v>
      </c>
      <c r="D168" s="13" t="s">
        <v>279</v>
      </c>
      <c r="E168" s="41">
        <v>300</v>
      </c>
      <c r="F168" s="7">
        <v>4.7</v>
      </c>
      <c r="G168" s="27">
        <v>94.5</v>
      </c>
      <c r="H168" s="35">
        <v>0.1</v>
      </c>
      <c r="I168" s="16">
        <f>G168*(1+H168)</f>
        <v>103.95</v>
      </c>
      <c r="J168" s="8"/>
      <c r="K168" s="17">
        <f>J168*F168</f>
        <v>0</v>
      </c>
      <c r="L168" s="17">
        <f t="shared" si="30"/>
        <v>0</v>
      </c>
      <c r="M168" s="16">
        <f>J168*I168</f>
        <v>0</v>
      </c>
      <c r="N168" s="18">
        <f t="shared" si="31"/>
        <v>0</v>
      </c>
    </row>
    <row r="169" s="3" customFormat="1" spans="1:14">
      <c r="A169" s="26"/>
      <c r="B169" s="27"/>
      <c r="C169" s="27"/>
      <c r="D169" s="27"/>
      <c r="E169" s="27"/>
      <c r="F169" s="27"/>
      <c r="G169" s="27"/>
      <c r="H169" s="35"/>
      <c r="I169" s="16"/>
      <c r="J169" s="8"/>
      <c r="K169" s="17"/>
      <c r="L169" s="17">
        <f t="shared" si="30"/>
        <v>0</v>
      </c>
      <c r="M169" s="16"/>
      <c r="N169" s="18">
        <f t="shared" si="31"/>
        <v>0</v>
      </c>
    </row>
    <row r="170" s="3" customFormat="1" spans="1:14">
      <c r="A170" s="26"/>
      <c r="B170" s="10" t="s">
        <v>292</v>
      </c>
      <c r="C170" s="42"/>
      <c r="D170" s="42"/>
      <c r="E170" s="42"/>
      <c r="F170" s="43"/>
      <c r="G170" s="27"/>
      <c r="H170" s="35"/>
      <c r="I170" s="16"/>
      <c r="J170" s="8"/>
      <c r="K170" s="17"/>
      <c r="L170" s="17">
        <f t="shared" si="30"/>
        <v>0</v>
      </c>
      <c r="M170" s="16"/>
      <c r="N170" s="18">
        <f t="shared" si="31"/>
        <v>0</v>
      </c>
    </row>
    <row r="171" spans="1:14">
      <c r="B171" s="40" t="s">
        <v>293</v>
      </c>
      <c r="C171" s="8" t="s">
        <v>94</v>
      </c>
      <c r="D171" s="13" t="s">
        <v>294</v>
      </c>
      <c r="E171" s="41">
        <v>500</v>
      </c>
      <c r="F171" s="7">
        <v>5</v>
      </c>
      <c r="G171" s="13">
        <v>67.5</v>
      </c>
      <c r="H171" s="15">
        <v>0.08</v>
      </c>
      <c r="I171" s="16">
        <f t="shared" ref="I171:I191" si="32">G171*(1+H171)</f>
        <v>72.9</v>
      </c>
      <c r="J171" s="8"/>
      <c r="K171" s="17">
        <f t="shared" ref="K171:K191" si="33">J171*F171</f>
        <v>0</v>
      </c>
      <c r="L171" s="17">
        <f t="shared" si="30"/>
        <v>0</v>
      </c>
      <c r="M171" s="16">
        <f t="shared" ref="M171:M191" si="34">J171*I171</f>
        <v>0</v>
      </c>
      <c r="N171" s="18">
        <f t="shared" si="31"/>
        <v>0</v>
      </c>
    </row>
    <row r="172" spans="1:14">
      <c r="B172" s="40" t="s">
        <v>295</v>
      </c>
      <c r="C172" s="8" t="s">
        <v>94</v>
      </c>
      <c r="D172" s="13" t="s">
        <v>294</v>
      </c>
      <c r="E172" s="41">
        <v>500</v>
      </c>
      <c r="F172" s="7">
        <v>6.2</v>
      </c>
      <c r="G172" s="13">
        <v>79</v>
      </c>
      <c r="H172" s="15">
        <v>0.08</v>
      </c>
      <c r="I172" s="16">
        <f t="shared" si="32"/>
        <v>85.32</v>
      </c>
      <c r="J172" s="8"/>
      <c r="K172" s="17">
        <f t="shared" si="33"/>
        <v>0</v>
      </c>
      <c r="L172" s="17">
        <f t="shared" si="30"/>
        <v>0</v>
      </c>
      <c r="M172" s="16">
        <f t="shared" si="34"/>
        <v>0</v>
      </c>
      <c r="N172" s="18">
        <f t="shared" si="31"/>
        <v>0</v>
      </c>
    </row>
    <row r="173" spans="1:14">
      <c r="B173" s="41" t="s">
        <v>296</v>
      </c>
      <c r="C173" s="8" t="s">
        <v>94</v>
      </c>
      <c r="D173" s="13" t="s">
        <v>294</v>
      </c>
      <c r="E173" s="41">
        <v>500</v>
      </c>
      <c r="F173" s="7"/>
      <c r="G173" s="13"/>
      <c r="H173" s="15">
        <v>0.08</v>
      </c>
      <c r="I173" s="16"/>
      <c r="J173" s="8"/>
      <c r="K173" s="17">
        <f t="shared" si="33"/>
        <v>0</v>
      </c>
      <c r="L173" s="17">
        <f t="shared" si="30"/>
        <v>0</v>
      </c>
      <c r="M173" s="16">
        <f t="shared" si="34"/>
        <v>0</v>
      </c>
      <c r="N173" s="18">
        <f t="shared" si="31"/>
        <v>0</v>
      </c>
    </row>
    <row r="174" spans="1:14">
      <c r="B174" s="40" t="s">
        <v>297</v>
      </c>
      <c r="C174" s="8" t="s">
        <v>94</v>
      </c>
      <c r="D174" s="13" t="s">
        <v>294</v>
      </c>
      <c r="E174" s="41">
        <v>500</v>
      </c>
      <c r="F174" s="7">
        <v>6.5</v>
      </c>
      <c r="G174" s="13">
        <v>105</v>
      </c>
      <c r="H174" s="15">
        <v>0.08</v>
      </c>
      <c r="I174" s="16">
        <f t="shared" si="32"/>
        <v>113.4</v>
      </c>
      <c r="J174" s="8"/>
      <c r="K174" s="17">
        <f t="shared" si="33"/>
        <v>0</v>
      </c>
      <c r="L174" s="17">
        <f t="shared" si="30"/>
        <v>0</v>
      </c>
      <c r="M174" s="16">
        <f t="shared" si="34"/>
        <v>0</v>
      </c>
      <c r="N174" s="18">
        <f t="shared" si="31"/>
        <v>0</v>
      </c>
    </row>
    <row r="175" spans="1:14">
      <c r="B175" s="40" t="s">
        <v>298</v>
      </c>
      <c r="C175" s="8" t="s">
        <v>94</v>
      </c>
      <c r="D175" s="13" t="s">
        <v>294</v>
      </c>
      <c r="E175" s="41">
        <v>500</v>
      </c>
      <c r="F175" s="7">
        <v>7.5</v>
      </c>
      <c r="G175" s="13">
        <v>117.5</v>
      </c>
      <c r="H175" s="15">
        <v>0.08</v>
      </c>
      <c r="I175" s="16">
        <f t="shared" si="32"/>
        <v>126.9</v>
      </c>
      <c r="J175" s="8"/>
      <c r="K175" s="17">
        <f t="shared" si="33"/>
        <v>0</v>
      </c>
      <c r="L175" s="17">
        <f t="shared" si="30"/>
        <v>0</v>
      </c>
      <c r="M175" s="16">
        <f t="shared" si="34"/>
        <v>0</v>
      </c>
      <c r="N175" s="18">
        <f t="shared" si="31"/>
        <v>0</v>
      </c>
    </row>
    <row r="176" spans="1:14">
      <c r="B176" s="41" t="s">
        <v>299</v>
      </c>
      <c r="C176" s="8" t="s">
        <v>94</v>
      </c>
      <c r="D176" s="13" t="s">
        <v>294</v>
      </c>
      <c r="E176" s="41">
        <v>500</v>
      </c>
      <c r="F176" s="7">
        <v>8</v>
      </c>
      <c r="G176" s="13">
        <v>122.5</v>
      </c>
      <c r="H176" s="15">
        <v>0.08</v>
      </c>
      <c r="I176" s="16">
        <f t="shared" si="32"/>
        <v>132.3</v>
      </c>
      <c r="J176" s="8"/>
      <c r="K176" s="17">
        <f t="shared" si="33"/>
        <v>0</v>
      </c>
      <c r="L176" s="17">
        <f t="shared" si="30"/>
        <v>0</v>
      </c>
      <c r="M176" s="16">
        <f t="shared" si="34"/>
        <v>0</v>
      </c>
      <c r="N176" s="18">
        <f t="shared" si="31"/>
        <v>0</v>
      </c>
    </row>
    <row r="177" spans="1:14">
      <c r="B177" s="41" t="s">
        <v>300</v>
      </c>
      <c r="C177" s="8" t="s">
        <v>94</v>
      </c>
      <c r="D177" s="41" t="s">
        <v>301</v>
      </c>
      <c r="E177" s="41">
        <v>5000</v>
      </c>
      <c r="F177" s="7">
        <v>6</v>
      </c>
      <c r="G177" s="13">
        <v>100</v>
      </c>
      <c r="H177" s="15">
        <v>0.08</v>
      </c>
      <c r="I177" s="16">
        <f t="shared" si="32"/>
        <v>108</v>
      </c>
      <c r="J177" s="8"/>
      <c r="K177" s="17">
        <f t="shared" si="33"/>
        <v>0</v>
      </c>
      <c r="L177" s="17">
        <f t="shared" si="30"/>
        <v>0</v>
      </c>
      <c r="M177" s="16">
        <f t="shared" si="34"/>
        <v>0</v>
      </c>
      <c r="N177" s="18">
        <f t="shared" si="31"/>
        <v>0</v>
      </c>
    </row>
    <row r="178" spans="1:14">
      <c r="B178" s="6" t="s">
        <v>302</v>
      </c>
      <c r="C178" s="8" t="s">
        <v>94</v>
      </c>
      <c r="D178" s="41" t="s">
        <v>301</v>
      </c>
      <c r="E178" s="41">
        <v>5000</v>
      </c>
      <c r="F178" s="7">
        <v>7</v>
      </c>
      <c r="G178" s="13">
        <v>145</v>
      </c>
      <c r="H178" s="15">
        <v>0.08</v>
      </c>
      <c r="I178" s="16">
        <f t="shared" si="32"/>
        <v>156.6</v>
      </c>
      <c r="J178" s="8"/>
      <c r="K178" s="17">
        <f t="shared" si="33"/>
        <v>0</v>
      </c>
      <c r="L178" s="17">
        <f t="shared" si="30"/>
        <v>0</v>
      </c>
      <c r="M178" s="16">
        <f t="shared" si="34"/>
        <v>0</v>
      </c>
      <c r="N178" s="18">
        <f t="shared" si="31"/>
        <v>0</v>
      </c>
    </row>
    <row r="179" spans="1:14">
      <c r="B179" s="41" t="s">
        <v>303</v>
      </c>
      <c r="C179" s="8" t="s">
        <v>94</v>
      </c>
      <c r="D179" s="41" t="s">
        <v>301</v>
      </c>
      <c r="E179" s="41">
        <v>5000</v>
      </c>
      <c r="F179" s="7">
        <v>8</v>
      </c>
      <c r="G179" s="13">
        <v>135</v>
      </c>
      <c r="H179" s="15">
        <v>0.08</v>
      </c>
      <c r="I179" s="16">
        <f t="shared" si="32"/>
        <v>145.8</v>
      </c>
      <c r="J179" s="8"/>
      <c r="K179" s="17">
        <f t="shared" si="33"/>
        <v>0</v>
      </c>
      <c r="L179" s="17">
        <f t="shared" si="30"/>
        <v>0</v>
      </c>
      <c r="M179" s="16">
        <f t="shared" si="34"/>
        <v>0</v>
      </c>
      <c r="N179" s="18">
        <f t="shared" si="31"/>
        <v>0</v>
      </c>
    </row>
    <row r="180" spans="1:14">
      <c r="A180" s="6"/>
      <c r="B180" s="6" t="s">
        <v>304</v>
      </c>
      <c r="C180" s="8" t="s">
        <v>94</v>
      </c>
      <c r="D180" s="41" t="s">
        <v>301</v>
      </c>
      <c r="E180" s="41">
        <v>5000</v>
      </c>
      <c r="F180" s="7">
        <v>7.7</v>
      </c>
      <c r="G180" s="13">
        <v>175</v>
      </c>
      <c r="H180" s="15">
        <v>0.08</v>
      </c>
      <c r="I180" s="16">
        <f t="shared" si="32"/>
        <v>189</v>
      </c>
      <c r="J180" s="8"/>
      <c r="K180" s="17">
        <f t="shared" si="33"/>
        <v>0</v>
      </c>
      <c r="L180" s="17">
        <f t="shared" si="30"/>
        <v>0</v>
      </c>
      <c r="M180" s="16">
        <f t="shared" si="34"/>
        <v>0</v>
      </c>
      <c r="N180" s="18">
        <f t="shared" si="31"/>
        <v>0</v>
      </c>
    </row>
    <row r="181" spans="1:14">
      <c r="B181" s="41" t="s">
        <v>305</v>
      </c>
      <c r="C181" s="8" t="s">
        <v>94</v>
      </c>
      <c r="D181" s="41" t="s">
        <v>301</v>
      </c>
      <c r="E181" s="41">
        <v>5000</v>
      </c>
      <c r="F181" s="7">
        <v>9.4</v>
      </c>
      <c r="G181" s="13">
        <v>160</v>
      </c>
      <c r="H181" s="15">
        <v>0.08</v>
      </c>
      <c r="I181" s="16">
        <f t="shared" si="32"/>
        <v>172.8</v>
      </c>
      <c r="J181" s="8"/>
      <c r="K181" s="17">
        <f t="shared" si="33"/>
        <v>0</v>
      </c>
      <c r="L181" s="17">
        <f t="shared" si="30"/>
        <v>0</v>
      </c>
      <c r="M181" s="16">
        <f t="shared" si="34"/>
        <v>0</v>
      </c>
      <c r="N181" s="18">
        <f t="shared" si="31"/>
        <v>0</v>
      </c>
    </row>
    <row r="182" spans="1:14">
      <c r="B182" s="44" t="s">
        <v>306</v>
      </c>
      <c r="C182" s="8" t="s">
        <v>94</v>
      </c>
      <c r="D182" s="41" t="s">
        <v>301</v>
      </c>
      <c r="E182" s="41">
        <v>5000</v>
      </c>
      <c r="F182" s="7">
        <v>10</v>
      </c>
      <c r="G182" s="13">
        <v>190</v>
      </c>
      <c r="H182" s="15">
        <v>0.08</v>
      </c>
      <c r="I182" s="16">
        <f t="shared" si="32"/>
        <v>205.2</v>
      </c>
      <c r="J182" s="8"/>
      <c r="K182" s="17">
        <f t="shared" si="33"/>
        <v>0</v>
      </c>
      <c r="L182" s="17">
        <f t="shared" si="30"/>
        <v>0</v>
      </c>
      <c r="M182" s="16">
        <f t="shared" si="34"/>
        <v>0</v>
      </c>
      <c r="N182" s="18">
        <f t="shared" si="31"/>
        <v>0</v>
      </c>
    </row>
    <row r="183" spans="1:14">
      <c r="B183" s="41" t="s">
        <v>307</v>
      </c>
      <c r="C183" s="8" t="s">
        <v>94</v>
      </c>
      <c r="D183" s="41" t="s">
        <v>301</v>
      </c>
      <c r="E183" s="41">
        <v>1000</v>
      </c>
      <c r="F183" s="7">
        <v>2.5</v>
      </c>
      <c r="G183" s="13">
        <v>54</v>
      </c>
      <c r="H183" s="15">
        <v>0.08</v>
      </c>
      <c r="I183" s="16">
        <f t="shared" si="32"/>
        <v>58.32</v>
      </c>
      <c r="J183" s="8"/>
      <c r="K183" s="17">
        <f t="shared" si="33"/>
        <v>0</v>
      </c>
      <c r="L183" s="17">
        <f t="shared" si="30"/>
        <v>0</v>
      </c>
      <c r="M183" s="16">
        <f t="shared" si="34"/>
        <v>0</v>
      </c>
      <c r="N183" s="18">
        <f t="shared" si="31"/>
        <v>0</v>
      </c>
    </row>
    <row r="184" spans="1:14">
      <c r="B184" s="40" t="s">
        <v>308</v>
      </c>
      <c r="C184" s="8" t="s">
        <v>94</v>
      </c>
      <c r="D184" s="41" t="s">
        <v>301</v>
      </c>
      <c r="E184" s="41">
        <v>1000</v>
      </c>
      <c r="F184" s="7">
        <v>4</v>
      </c>
      <c r="G184" s="13">
        <v>58</v>
      </c>
      <c r="H184" s="15">
        <v>0.08</v>
      </c>
      <c r="I184" s="16">
        <f t="shared" si="32"/>
        <v>62.64</v>
      </c>
      <c r="J184" s="8"/>
      <c r="K184" s="17">
        <f t="shared" si="33"/>
        <v>0</v>
      </c>
      <c r="L184" s="17">
        <f t="shared" si="30"/>
        <v>0</v>
      </c>
      <c r="M184" s="16">
        <f t="shared" si="34"/>
        <v>0</v>
      </c>
      <c r="N184" s="18">
        <f t="shared" si="31"/>
        <v>0</v>
      </c>
    </row>
    <row r="185" spans="1:14">
      <c r="A185" s="6"/>
      <c r="B185" s="6" t="s">
        <v>309</v>
      </c>
      <c r="C185" s="8" t="s">
        <v>94</v>
      </c>
      <c r="D185" s="41" t="s">
        <v>301</v>
      </c>
      <c r="E185" s="41">
        <v>1000</v>
      </c>
      <c r="F185" s="7">
        <v>3.3</v>
      </c>
      <c r="G185" s="13">
        <v>63</v>
      </c>
      <c r="H185" s="15">
        <v>0.08</v>
      </c>
      <c r="I185" s="16">
        <f t="shared" si="32"/>
        <v>68.04</v>
      </c>
      <c r="J185" s="8"/>
      <c r="K185" s="17">
        <f t="shared" si="33"/>
        <v>0</v>
      </c>
      <c r="L185" s="17">
        <f t="shared" si="30"/>
        <v>0</v>
      </c>
      <c r="M185" s="16">
        <f t="shared" si="34"/>
        <v>0</v>
      </c>
      <c r="N185" s="18">
        <f t="shared" si="31"/>
        <v>0</v>
      </c>
    </row>
    <row r="186" spans="1:14">
      <c r="B186" s="41" t="s">
        <v>310</v>
      </c>
      <c r="C186" s="8" t="s">
        <v>94</v>
      </c>
      <c r="D186" s="41" t="s">
        <v>301</v>
      </c>
      <c r="E186" s="41">
        <v>1000</v>
      </c>
      <c r="F186" s="7"/>
      <c r="G186" s="13"/>
      <c r="H186" s="15"/>
      <c r="I186" s="16"/>
      <c r="J186" s="8"/>
      <c r="K186" s="17">
        <f t="shared" si="33"/>
        <v>0</v>
      </c>
      <c r="L186" s="17">
        <f t="shared" si="30"/>
        <v>0</v>
      </c>
      <c r="M186" s="16">
        <f t="shared" si="34"/>
        <v>0</v>
      </c>
      <c r="N186" s="18">
        <f t="shared" si="31"/>
        <v>0</v>
      </c>
    </row>
    <row r="187" spans="1:14">
      <c r="B187" s="41" t="s">
        <v>311</v>
      </c>
      <c r="C187" s="8" t="s">
        <v>94</v>
      </c>
      <c r="D187" s="41" t="s">
        <v>301</v>
      </c>
      <c r="E187" s="41">
        <v>1000</v>
      </c>
      <c r="F187" s="7"/>
      <c r="G187" s="13"/>
      <c r="H187" s="15"/>
      <c r="I187" s="16"/>
      <c r="J187" s="8"/>
      <c r="K187" s="17">
        <f t="shared" si="33"/>
        <v>0</v>
      </c>
      <c r="L187" s="17">
        <f t="shared" si="30"/>
        <v>0</v>
      </c>
      <c r="M187" s="16">
        <f t="shared" si="34"/>
        <v>0</v>
      </c>
      <c r="N187" s="18">
        <f t="shared" si="31"/>
        <v>0</v>
      </c>
    </row>
    <row r="188" spans="1:14">
      <c r="B188" s="40" t="s">
        <v>312</v>
      </c>
      <c r="C188" s="8" t="s">
        <v>313</v>
      </c>
      <c r="D188" s="13" t="s">
        <v>314</v>
      </c>
      <c r="E188" s="41">
        <v>2000</v>
      </c>
      <c r="F188" s="7">
        <v>5</v>
      </c>
      <c r="G188" s="13">
        <v>140</v>
      </c>
      <c r="H188" s="15">
        <v>0.08</v>
      </c>
      <c r="I188" s="16">
        <f t="shared" si="32"/>
        <v>151.2</v>
      </c>
      <c r="J188" s="8"/>
      <c r="K188" s="17">
        <f t="shared" si="33"/>
        <v>0</v>
      </c>
      <c r="L188" s="17">
        <f t="shared" si="30"/>
        <v>0</v>
      </c>
      <c r="M188" s="16">
        <f t="shared" si="34"/>
        <v>0</v>
      </c>
      <c r="N188" s="18">
        <f t="shared" si="31"/>
        <v>0</v>
      </c>
    </row>
    <row r="189" spans="1:14">
      <c r="B189" s="40" t="s">
        <v>312</v>
      </c>
      <c r="C189" s="8" t="s">
        <v>315</v>
      </c>
      <c r="D189" s="13" t="s">
        <v>314</v>
      </c>
      <c r="E189" s="41">
        <v>2000</v>
      </c>
      <c r="F189" s="7">
        <v>5</v>
      </c>
      <c r="G189" s="13">
        <v>140</v>
      </c>
      <c r="H189" s="15">
        <v>0.08</v>
      </c>
      <c r="I189" s="16">
        <f t="shared" si="32"/>
        <v>151.2</v>
      </c>
      <c r="J189" s="8"/>
      <c r="K189" s="17">
        <f t="shared" si="33"/>
        <v>0</v>
      </c>
      <c r="L189" s="17">
        <f t="shared" si="30"/>
        <v>0</v>
      </c>
      <c r="M189" s="16">
        <f t="shared" si="34"/>
        <v>0</v>
      </c>
      <c r="N189" s="18">
        <f t="shared" si="31"/>
        <v>0</v>
      </c>
    </row>
    <row r="190" spans="1:14">
      <c r="B190" s="41" t="s">
        <v>312</v>
      </c>
      <c r="C190" s="8" t="s">
        <v>96</v>
      </c>
      <c r="D190" s="13" t="s">
        <v>314</v>
      </c>
      <c r="E190" s="41">
        <v>1000</v>
      </c>
      <c r="F190" s="7">
        <v>2.5</v>
      </c>
      <c r="G190" s="13">
        <v>70</v>
      </c>
      <c r="H190" s="15">
        <v>0.08</v>
      </c>
      <c r="I190" s="16">
        <f t="shared" si="32"/>
        <v>75.6</v>
      </c>
      <c r="J190" s="8"/>
      <c r="K190" s="17">
        <f t="shared" si="33"/>
        <v>0</v>
      </c>
      <c r="L190" s="17">
        <f t="shared" si="30"/>
        <v>0</v>
      </c>
      <c r="M190" s="16">
        <f t="shared" si="34"/>
        <v>0</v>
      </c>
      <c r="N190" s="18">
        <f t="shared" si="31"/>
        <v>0</v>
      </c>
    </row>
    <row r="191" spans="1:14">
      <c r="B191" s="41" t="s">
        <v>273</v>
      </c>
      <c r="C191" s="8" t="s">
        <v>96</v>
      </c>
      <c r="D191" s="13" t="s">
        <v>263</v>
      </c>
      <c r="E191" s="41">
        <v>2000</v>
      </c>
      <c r="F191" s="7">
        <v>4</v>
      </c>
      <c r="G191" s="13">
        <v>101</v>
      </c>
      <c r="H191" s="15">
        <v>0.13</v>
      </c>
      <c r="I191" s="16">
        <f t="shared" si="32"/>
        <v>114.13</v>
      </c>
      <c r="J191" s="8"/>
      <c r="K191" s="17">
        <f t="shared" si="33"/>
        <v>0</v>
      </c>
      <c r="L191" s="17">
        <f t="shared" si="30"/>
        <v>0</v>
      </c>
      <c r="M191" s="16">
        <f t="shared" si="34"/>
        <v>0</v>
      </c>
      <c r="N191" s="18">
        <f t="shared" si="31"/>
        <v>0</v>
      </c>
    </row>
    <row r="192" spans="1:14">
      <c r="F192" s="7"/>
      <c r="G192" s="13"/>
      <c r="H192" s="15"/>
      <c r="J192" s="7" t="s">
        <v>316</v>
      </c>
      <c r="K192" s="17">
        <f>SUM(J6:J190)</f>
        <v>0</v>
      </c>
      <c r="L192" s="6" t="s">
        <v>317</v>
      </c>
    </row>
    <row r="193" spans="1:13">
      <c r="A193" s="45"/>
      <c r="B193" s="45"/>
      <c r="C193" s="45"/>
      <c r="D193" s="45"/>
      <c r="E193" s="45"/>
      <c r="F193" s="7"/>
      <c r="G193" s="13"/>
      <c r="H193" s="15"/>
      <c r="I193" s="45"/>
      <c r="J193" s="41" t="s">
        <v>318</v>
      </c>
      <c r="K193" s="7">
        <f>SUM(K6:K190)</f>
        <v>0</v>
      </c>
      <c r="L193" s="6" t="s">
        <v>319</v>
      </c>
    </row>
    <row r="194" spans="1:13">
      <c r="A194" s="45"/>
      <c r="B194" s="45"/>
      <c r="C194" s="45"/>
      <c r="D194" s="45"/>
      <c r="E194" s="45"/>
      <c r="F194" s="45"/>
      <c r="G194" s="13"/>
      <c r="H194" s="15"/>
      <c r="I194" s="45"/>
      <c r="J194" s="41" t="s">
        <v>320</v>
      </c>
      <c r="K194" s="4">
        <f>SUM(L:L)</f>
        <v>0</v>
      </c>
      <c r="L194" s="46" t="s">
        <v>319</v>
      </c>
      <c r="M194" s="41"/>
    </row>
    <row r="195" spans="1:13">
      <c r="A195" s="45"/>
      <c r="B195" s="45"/>
      <c r="C195" s="45"/>
      <c r="D195" s="45"/>
      <c r="E195" s="45"/>
      <c r="F195" s="45"/>
      <c r="G195" s="13"/>
      <c r="H195" s="15"/>
      <c r="I195" s="45"/>
      <c r="J195" s="41" t="s">
        <v>321</v>
      </c>
      <c r="K195" s="45">
        <f>SUM(N5:N191)</f>
        <v>0</v>
      </c>
      <c r="L195" s="45"/>
      <c r="M195" s="41"/>
    </row>
    <row r="196" spans="1:13">
      <c r="A196" s="45"/>
      <c r="B196" s="45"/>
      <c r="C196" s="45"/>
      <c r="D196" s="45"/>
      <c r="E196" s="45"/>
      <c r="F196" s="45"/>
      <c r="G196" s="13"/>
      <c r="H196" s="15"/>
      <c r="I196" s="45"/>
      <c r="J196" s="45"/>
      <c r="K196" s="45"/>
      <c r="L196" s="45"/>
      <c r="M196" s="41"/>
    </row>
    <row r="197" spans="1:13">
      <c r="A197" s="45"/>
      <c r="B197" s="45"/>
      <c r="C197" s="45"/>
      <c r="D197" s="45"/>
      <c r="E197" s="45"/>
      <c r="F197" s="45"/>
      <c r="G197" s="13"/>
      <c r="H197" s="15"/>
      <c r="I197" s="45"/>
      <c r="J197" s="45"/>
      <c r="K197" s="45"/>
      <c r="L197" s="45"/>
      <c r="M197" s="41"/>
    </row>
    <row r="198" spans="1:13">
      <c r="A198" s="45"/>
      <c r="B198" s="45"/>
      <c r="C198" s="45"/>
      <c r="D198" s="45"/>
      <c r="E198" s="45"/>
      <c r="F198" s="45"/>
      <c r="G198" s="45"/>
      <c r="H198" s="15"/>
      <c r="I198" s="45"/>
      <c r="J198" s="45"/>
      <c r="K198" s="45"/>
      <c r="L198" s="45"/>
      <c r="M198" s="41"/>
    </row>
    <row r="199" spans="1:13">
      <c r="A199" s="45"/>
      <c r="B199" s="45"/>
      <c r="C199" s="45"/>
      <c r="D199" s="45"/>
      <c r="E199" s="45"/>
      <c r="F199" s="45"/>
      <c r="G199" s="45"/>
      <c r="H199" s="15"/>
      <c r="I199" s="45"/>
      <c r="J199" s="45"/>
      <c r="K199" s="45"/>
      <c r="L199" s="45"/>
      <c r="M199" s="41"/>
    </row>
    <row r="200" spans="1:13">
      <c r="A200" s="45"/>
      <c r="B200" s="45"/>
      <c r="C200" s="45"/>
      <c r="D200" s="45"/>
      <c r="E200" s="45"/>
      <c r="F200" s="45"/>
      <c r="G200" s="45"/>
      <c r="H200" s="15"/>
      <c r="I200" s="45"/>
      <c r="J200" s="45"/>
      <c r="K200" s="45"/>
      <c r="L200" s="45" t="s">
        <v>221</v>
      </c>
      <c r="M200" s="41"/>
    </row>
    <row r="201" spans="1:13">
      <c r="A201" s="45"/>
      <c r="B201" s="45"/>
      <c r="C201" s="45"/>
      <c r="D201" s="45"/>
      <c r="E201" s="45"/>
      <c r="F201" s="45"/>
      <c r="G201" s="45"/>
      <c r="H201" s="45"/>
      <c r="I201" s="45"/>
      <c r="J201" s="45"/>
      <c r="K201" s="45"/>
      <c r="L201" s="45"/>
      <c r="M201" s="41"/>
    </row>
    <row r="202" spans="1:13">
      <c r="A202" s="45"/>
      <c r="B202" s="45"/>
      <c r="C202" s="45"/>
      <c r="D202" s="45"/>
      <c r="E202" s="45"/>
      <c r="F202" s="45"/>
      <c r="G202" s="45"/>
      <c r="H202" s="45"/>
      <c r="I202" s="45"/>
      <c r="J202" s="45"/>
      <c r="K202" s="45"/>
      <c r="L202" s="45"/>
      <c r="M202" s="41"/>
    </row>
    <row r="203" spans="1:13">
      <c r="A203" s="45"/>
      <c r="B203" s="45"/>
      <c r="C203" s="45"/>
      <c r="D203" s="45"/>
      <c r="E203" s="45"/>
      <c r="F203" s="45"/>
      <c r="G203" s="45"/>
      <c r="H203" s="45"/>
      <c r="I203" s="45"/>
      <c r="J203" s="45"/>
      <c r="K203" s="45"/>
      <c r="L203" s="45"/>
      <c r="M203" s="41"/>
    </row>
    <row r="204" spans="1:13">
      <c r="A204" s="45"/>
      <c r="B204" s="45"/>
      <c r="C204" s="45"/>
      <c r="D204" s="45"/>
      <c r="E204" s="45"/>
      <c r="F204" s="45"/>
      <c r="G204" s="45"/>
      <c r="H204" s="45"/>
      <c r="I204" s="45"/>
      <c r="J204" s="45"/>
      <c r="K204" s="45"/>
      <c r="L204" s="45"/>
      <c r="M204" s="41"/>
    </row>
    <row r="206" spans="1:13">
      <c r="B206" s="6"/>
      <c r="C206" s="6"/>
      <c r="D206" s="6"/>
      <c r="E206" s="6"/>
    </row>
    <row r="208" spans="1:13">
      <c r="J208" s="6"/>
    </row>
    <row r="209" spans="2:11">
      <c r="K209" s="2" t="s">
        <v>221</v>
      </c>
    </row>
    <row r="210" spans="2:11">
      <c r="B210" s="6"/>
      <c r="C210" s="6"/>
      <c r="D210" s="6"/>
      <c r="E210" s="6"/>
    </row>
    <row r="223" spans="2:11">
      <c r="E223" s="2" t="s">
        <v>221</v>
      </c>
    </row>
  </sheetData>
  <autoFilter xmlns:etc="http://www.wps.cn/officeDocument/2017/etCustomData" ref="A4:P195"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2" sqref="A2"/>
    </sheetView>
  </sheetViews>
  <sheetFormatPr defaultColWidth="11" defaultRowHeight="13.5"/>
  <cols>
    <col min="2" max="2" width="16.2" style="1" customWidth="1"/>
  </cols>
  <sheetData>
    <row r="1" spans="1:1">
      <c r="A1" t="str" cm="1">
        <f t="array" ref="A1">_xlfn._xlws.FILTER(工作表2!B6:N191,工作表2!N6:N191&gt;0,"")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YYPSTYLE</cp:lastModifiedBy>
  <dcterms:created xsi:type="dcterms:W3CDTF">2025-08-16T19:44:00Z</dcterms:created>
  <dcterms:modified xsi:type="dcterms:W3CDTF">2026-07-10T07:57:32Z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41D31ECB0DF14882AB409DBE58D2D80A_13</vt:lpwstr>
  </property>
  <property fmtid="{D5CDD505-2E9C-101B-9397-08002B2CF9AE}" pid="4" name="KSOProductBuildVer">
    <vt:lpwstr>2052-12.1.0.26895</vt:lpwstr>
  </property>
</Properties>
</file>