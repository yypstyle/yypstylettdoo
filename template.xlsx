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7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工作表2!$A$4:$P$201</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<sst xmlns="http://schemas.openxmlformats.org/spreadsheetml/2006/main" count="803" uniqueCount="326">
  <si>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</si>
  <si>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</si>
  <si>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</si>
  <si>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</si>
  <si>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</si>
  <si>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</si>
  <si>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</si>
  <si>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</si>
  <si>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</si>
  <si>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</si>
  <si>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</si>
  <si>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</si>
  <si>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</si>
  <si>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</si>
  <si>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</si>
  <si>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</si>
  <si>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</si>
  <si>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</si>
  <si>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</si>
  <si>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</si>
  <si>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</si>
  <si>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</si>
  <si>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</si>
  <si>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</si>
  <si>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</si>
  <si>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</si>
  <si>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</si>
  <si>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</si>
  <si>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</si>
  <si>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</si>
  <si>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</si>
  <si>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</si>
  <si>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</si>
  <si>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</si>
  <si>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</si>
  <si>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</si>
  <si>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</si>
  <si>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</si>
  <si>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</si>
  <si>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</si>
  <si>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</si>
  <si>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</si>
  <si>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</si>
  <si>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</si>
  <si>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</si>
  <si>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</si>
  <si>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</si>
  <si>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</si>
  <si>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</si>
  <si>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</si>
  <si>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</si>
  <si>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</si>
  <si>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</si>
  <si>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</si>
  <si>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</si>
  <si>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</si>
  <si>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</si>
  <si>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</si>
  <si>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</si>
  <si>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</si>
  <si>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</si>
  <si>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</si>
  <si>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</si>
  <si>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</si>
  <si>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</si>
  <si>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</si>
  <si>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</si>
  <si>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</si>
  <si>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</si>
  <si>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</si>
  <si>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</si>
  <si>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</si>
  <si>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</si>
  <si>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</si>
  <si>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</si>
  <si>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</si>
  <si>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</si>
  <si>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</si>
  <si>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</si>
  <si>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</si>
  <si>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</si>
  <si>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</si>
  <si>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</si>
  <si>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</si>
  <si>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</si>
  <si>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</si>
  <si>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</si>
  <si>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</si>
  <si>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</si>
  <si>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</si>
  <si>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</si>
  <si>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</si>
  <si>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</si>
  <si>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</si>
  <si>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</si>
  <si>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</si>
  <si>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</si>
  <si>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</si>
  <si>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</si>
  <si>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</si>
  <si>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</si>
  <si>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</si>
  <si>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</si>
  <si>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</si>
  <si>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</si>
  <si>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</si>
  <si>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</si>
  <si>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</si>
  <si>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</si>
  <si>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</si>
  <si>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</si>
  <si>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</si>
  <si>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</si>
  <si>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</si>
  <si>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</si>
  <si>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</si>
  <si>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</si>
  <si>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</si>
  <si>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</si>
  <si>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</si>
  <si>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</si>
  <si>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</si>
  <si>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</si>
  <si>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</si>
  <si>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</si>
  <si>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</si>
  <si>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</si>
  <si>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</si>
  <si>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</si>
  <si>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</si>
  <si>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</si>
  <si>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</si>
  <si>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</si>
  <si>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</si>
  <si>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</si>
  <si>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</si>
  <si>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</si>
  <si>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</si>
  <si>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</si>
  <si>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</si>
  <si>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</si>
  <si>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</si>
  <si>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</si>
  <si>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</si>
  <si>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</si>
  <si>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</si>
  <si>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</si>
  <si>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</si>
  <si>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</si>
  <si>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</si>
  <si>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</si>
  <si>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</si>
  <si>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</si>
  <si>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</si>
  <si>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</si>
  <si>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</si>
  <si>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</si>
  <si>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</si>
  <si>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</si>
  <si>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</si>
  <si>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</si>
  <si>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</si>
  <si>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</si>
  <si>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</si>
  <si>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</si>
  <si>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</si>
  <si>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</si>
  <si>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</si>
  <si>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</si>
  <si>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</si>
  <si>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</si>
  <si>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</si>
  <si>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</si>
  <si>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</si>
  <si>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</si>
  <si>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</si>
  <si>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</si>
  <si>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圆1200</t>
  </si>
  <si>
    <t>50酱杯</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</si>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</sst>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0" fontId="3" fillId="0" borderId="0" xfId="0" applyFont="1" applyAlignment="1">
      <alignment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8" fillId="0" borderId="0" xfId="0" applyFont="1" applyAlignment="1">
      <alignment horizontal="center" vertical="center"/>
    </xf>
    <xf numFmtId="0" fontId="1" fillId="2" borderId="0" xfId="0"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0" fontId="10" fillId="0" borderId="1" xfId="0" applyFont="1" applyBorder="1" applyAlignment="1">
      <alignment horizontal="center" vertical="center"/>
    </xf>
    <xf numFmtId="14" fontId="1" fillId="0" borderId="2" xfId="0" applyNumberFormat="1" applyFont="1" applyBorder="1" applyAlignment="1">
      <alignment horizontal="center" vertical="center"/>
    </xf>
    <xf numFmtId="0" fontId="3" fillId="0" borderId="1" xfId="0" applyFont="1" applyBorder="1" applyAlignment="1">
      <alignment horizontal="center" vertical="center"/>
    </xf>
    <xf numFmtId="0" fontId="0" fillId="0" borderId="3" xfId="0" applyBorder="1" applyAlignment="1"/>
    <xf numFmtId="0" fontId="3" fillId="2" borderId="1" xfId="0" applyFont="1" applyFill="1" applyBorder="1" applyAlignment="1">
      <alignment horizontal="left" vertical="center"/>
    </xf>
    <xf numFmtId="0" fontId="1" fillId="2" borderId="1" xfId="0" applyFont="1" applyFill="1" applyBorder="1" applyAlignment="1">
      <alignment vertical="center"/>
    </xf>
    <xf numFmtId="0" fontId="2" fillId="0" borderId="0" xfId="0" applyFont="1" applyAlignment="1">
      <alignmen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0" fillId="0" borderId="1" xfId="0" applyFont="1" applyBorder="1" applyAlignment="1">
      <alignment horizontal="center" vertical="center" wrapText="1"/>
    </xf>
    <xf numFmtId="179" fontId="10" fillId="0" borderId="4" xfId="0" applyNumberFormat="1" applyFont="1" applyBorder="1" applyAlignment="1">
      <alignment horizontal="center" vertical="center"/>
    </xf>
    <xf numFmtId="0" fontId="3" fillId="0" borderId="5" xfId="0" applyFont="1" applyBorder="1" applyAlignment="1">
      <alignment vertical="center"/>
    </xf>
    <xf numFmtId="49" fontId="3" fillId="0" borderId="1" xfId="0" applyNumberFormat="1" applyFont="1" applyBorder="1" applyAlignment="1">
      <alignment horizontal="center" vertical="center"/>
    </xf>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11" fillId="0" borderId="0" xfId="0" applyFont="1" applyAlignment="1">
      <alignment horizontal="center"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1" xfId="0" applyBorder="1" applyAlignment="1"/>
    <xf numFmtId="0" fontId="1" fillId="0" borderId="4"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4" xfId="0" applyFont="1" applyBorder="1" applyAlignment="1">
      <alignment horizontal="center" vertical="center"/>
    </xf>
    <xf numFmtId="0" fontId="18" fillId="0" borderId="5" xfId="0" applyFont="1" applyBorder="1" applyAlignment="1">
      <alignment horizontal="center" vertical="center"/>
    </xf>
    <xf numFmtId="0" fontId="0" fillId="0" borderId="2" xfId="0" applyBorder="1" applyAlignment="1"/>
    <xf numFmtId="0" fontId="1" fillId="0" borderId="1" xfId="0" applyFont="1" applyBorder="1" applyAlignment="1">
      <alignment horizontal="center" vertical="center"/>
    </xf>
    <xf numFmtId="0" fontId="0" fillId="0" borderId="12" xfId="0" applyBorder="1" applyAlignment="1"/>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0" fontId="1" fillId="0" borderId="12" xfId="0" applyFont="1" applyBorder="1" applyAlignment="1">
      <alignment vertical="center"/>
    </xf>
    <xf numFmtId="0" fontId="18" fillId="0" borderId="2" xfId="0" applyFont="1" applyBorder="1" applyAlignment="1">
      <alignment horizontal="center" vertical="center"/>
    </xf>
    <xf numFmtId="0" fontId="19" fillId="0" borderId="0" xfId="0" applyFont="1" applyAlignment="1">
      <alignment horizontal="center" vertical="center"/>
    </xf>
    <xf numFmtId="0" fontId="1" fillId="0" borderId="8" xfId="0" applyFont="1" applyBorder="1" applyAlignment="1">
      <alignmen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5"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5"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6A7A146F-E4F4-4474-9CBC-0B88A2D61198}">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6F5CEBA8-7CD7-4999-B00B-BA8618C56C6D}">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1">
      <c r="A1" s="128" t="s">
        <v>0</v>
      </c>
    </row>
    <row r="2" ht="18" customHeight="1" spans="1:1">
      <c r="A2" s="129"/>
    </row>
    <row r="3" ht="13.5" spans="1:7">
      <c r="A3" t="s">
        <v>1</v>
      </c>
      <c r="C3" s="130" t="s">
        <v>2</v>
      </c>
      <c r="E3" t="s">
        <v>3</v>
      </c>
      <c r="G3">
        <f>装箱单!K9</f>
        <v>0</v>
      </c>
    </row>
    <row r="4" ht="19.5" customHeight="1" spans="1:7">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ht="13.5" spans="1:3">
      <c r="A7" t="s">
        <v>10</v>
      </c>
      <c r="C7" s="130" t="s">
        <v>11</v>
      </c>
    </row>
    <row r="8" ht="13.5" spans="1:3">
      <c r="A8" t="s">
        <v>4</v>
      </c>
      <c r="C8" s="130" t="s">
        <v>12</v>
      </c>
    </row>
    <row r="9" ht="13.5" spans="1:3">
      <c r="A9" t="s">
        <v>7</v>
      </c>
      <c r="C9" s="130">
        <v>63381808</v>
      </c>
    </row>
    <row r="10" ht="13.5" spans="1:1">
      <c r="A10" s="130"/>
    </row>
    <row r="11" ht="13.5" spans="1:1">
      <c r="A11" t="s">
        <v>13</v>
      </c>
    </row>
    <row r="12" ht="32.25" customHeight="1" spans="1:1">
      <c r="A12" s="135" t="s">
        <v>14</v>
      </c>
    </row>
    <row r="13" ht="11.25" customHeight="1" spans="1:1">
      <c r="A13" s="136"/>
    </row>
    <row r="14" ht="13.5" customHeight="1" spans="1:1">
      <c r="A14" s="68" t="s">
        <v>15</v>
      </c>
    </row>
    <row r="15" ht="13.5" customHeight="1" spans="1:1">
      <c r="A15" s="137" t="s">
        <v>16</v>
      </c>
    </row>
    <row r="16" ht="15" customHeight="1" spans="1:5">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0" t="str">
        <f>IF(发票!A9=0,"",发票!A9)</f>
        <v/>
      </c>
      <c r="B18" s="50" t="str">
        <f>IF(发票!B9=0,"",发票!B9)</f>
        <v/>
      </c>
      <c r="C18" s="142" t="str">
        <f>IF(发票!C9=0,"",发票!C9)</f>
        <v/>
      </c>
      <c r="D18" s="142" t="e">
        <f>IF(发票!D9=0,"",发票!D9)</f>
        <v>#DIV/0!</v>
      </c>
      <c r="E18" s="142" t="str">
        <f>IF(发票!E9=0,"",发票!E9)</f>
        <v/>
      </c>
    </row>
    <row r="19" ht="13.5" customHeight="1" spans="1:5">
      <c r="A19" s="50" t="str">
        <f>IF(发票!A10=0,"",发票!A10)</f>
        <v/>
      </c>
      <c r="B19" s="50" t="str">
        <f>IF(发票!B10=0,"",发票!B10)</f>
        <v/>
      </c>
      <c r="C19" s="142" t="str">
        <f>IF(发票!C10=0,"",发票!C10)</f>
        <v/>
      </c>
      <c r="D19" s="142" t="e">
        <f>IF(发票!D10=0,"",发票!D10)</f>
        <v>#DIV/0!</v>
      </c>
      <c r="E19" s="142" t="str">
        <f>IF(发票!E10=0,"",发票!E10)</f>
        <v/>
      </c>
    </row>
    <row r="20" ht="13.5" customHeight="1" spans="1:5">
      <c r="A20" s="50" t="str">
        <f>IF(发票!A11=0,"",发票!A11)</f>
        <v/>
      </c>
      <c r="B20" s="50" t="str">
        <f>IF(发票!B11=0,"",发票!B11)</f>
        <v/>
      </c>
      <c r="C20" s="142" t="str">
        <f>IF(发票!C11=0,"",发票!C11)</f>
        <v/>
      </c>
      <c r="D20" s="142" t="e">
        <f>IF(发票!D11=0,"",发票!D11)</f>
        <v>#DIV/0!</v>
      </c>
      <c r="E20" s="142" t="str">
        <f>IF(发票!E11=0,"",发票!E11)</f>
        <v/>
      </c>
    </row>
    <row r="21" ht="13.5" customHeight="1" spans="1:5">
      <c r="A21" s="50" t="str">
        <f>IF(发票!A12=0,"",发票!A12)</f>
        <v/>
      </c>
      <c r="B21" s="50" t="str">
        <f>IF(发票!B12=0,"",发票!B12)</f>
        <v/>
      </c>
      <c r="C21" s="142" t="str">
        <f>IF(发票!C12=0,"",发票!C12)</f>
        <v/>
      </c>
      <c r="D21" s="142" t="e">
        <f>IF(发票!D12=0,"",发票!D12)</f>
        <v>#DIV/0!</v>
      </c>
      <c r="E21" s="142" t="str">
        <f>IF(发票!E12=0,"",发票!E12)</f>
        <v/>
      </c>
    </row>
    <row r="22" ht="13.5" customHeight="1" spans="1:5">
      <c r="A22" s="50" t="str">
        <f>IF(发票!A13=0,"",发票!A13)</f>
        <v/>
      </c>
      <c r="B22" s="50" t="str">
        <f>IF(发票!B13=0,"",发票!B13)</f>
        <v/>
      </c>
      <c r="C22" s="142" t="str">
        <f>IF(发票!C13=0,"",发票!C13)</f>
        <v/>
      </c>
      <c r="D22" s="142" t="e">
        <f>IF(发票!D13=0,"",发票!D13)</f>
        <v>#DIV/0!</v>
      </c>
      <c r="E22" s="142" t="str">
        <f>IF(发票!E13=0,"",发票!E13)</f>
        <v/>
      </c>
    </row>
    <row r="23" ht="13.5" customHeight="1" spans="1:5">
      <c r="A23" s="50" t="str">
        <f>IF(发票!A14=0,"",发票!A14)</f>
        <v/>
      </c>
      <c r="B23" s="50" t="str">
        <f>IF(发票!B14=0,"",发票!B14)</f>
        <v/>
      </c>
      <c r="C23" s="142" t="str">
        <f>IF(发票!C14=0,"",发票!C14)</f>
        <v/>
      </c>
      <c r="D23" s="142" t="e">
        <f>IF(发票!D14=0,"",发票!D14)</f>
        <v>#DIV/0!</v>
      </c>
      <c r="E23" s="142" t="str">
        <f>IF(发票!E14=0,"",发票!E14)</f>
        <v/>
      </c>
    </row>
    <row r="24" ht="13.5" customHeight="1" spans="1:5">
      <c r="A24" s="50" t="str">
        <f>IF(发票!A15=0,"",发票!A15)</f>
        <v/>
      </c>
      <c r="B24" s="50" t="str">
        <f>IF(发票!B15=0,"",发票!B15)</f>
        <v/>
      </c>
      <c r="C24" s="142" t="str">
        <f>IF(发票!C15=0,"",发票!C15)</f>
        <v/>
      </c>
      <c r="D24" s="142" t="e">
        <f>IF(发票!D15=0,"",发票!D15)</f>
        <v>#DIV/0!</v>
      </c>
      <c r="E24" s="142" t="str">
        <f>IF(发票!E15=0,"",发票!E15)</f>
        <v/>
      </c>
    </row>
    <row r="25" ht="13.5" customHeight="1" spans="1:5">
      <c r="A25" s="50" t="str">
        <f>IF(发票!A16=0,"",发票!A16)</f>
        <v/>
      </c>
      <c r="B25" s="50" t="str">
        <f>IF(发票!B16=0,"",发票!B16)</f>
        <v/>
      </c>
      <c r="C25" s="142" t="str">
        <f>IF(发票!C16=0,"",发票!C16)</f>
        <v/>
      </c>
      <c r="D25" s="142" t="e">
        <f>IF(发票!D16=0,"",发票!D16)</f>
        <v>#DIV/0!</v>
      </c>
      <c r="E25" s="142" t="str">
        <f>IF(发票!E16=0,"",发票!E16)</f>
        <v/>
      </c>
    </row>
    <row r="26" ht="13.5" customHeight="1" spans="1:5">
      <c r="A26" s="50" t="str">
        <f>IF(发票!A17=0,"",发票!A17)</f>
        <v/>
      </c>
      <c r="B26" s="50" t="str">
        <f>IF(发票!B17=0,"",发票!B17)</f>
        <v/>
      </c>
      <c r="C26" s="142" t="str">
        <f>IF(发票!C17=0,"",发票!C17)</f>
        <v/>
      </c>
      <c r="D26" s="142" t="e">
        <f>IF(发票!D17=0,"",发票!D17)</f>
        <v>#DIV/0!</v>
      </c>
      <c r="E26" s="142" t="str">
        <f>IF(发票!E17=0,"",发票!E17)</f>
        <v/>
      </c>
    </row>
    <row r="27" ht="13.5" customHeight="1" spans="1:5">
      <c r="A27" s="50" t="str">
        <f>IF(发票!A18=0,"",发票!A18)</f>
        <v/>
      </c>
      <c r="B27" s="50" t="str">
        <f>IF(发票!B18=0,"",发票!B18)</f>
        <v/>
      </c>
      <c r="C27" s="142" t="str">
        <f>IF(发票!C18=0,"",发票!C18)</f>
        <v/>
      </c>
      <c r="D27" s="142" t="e">
        <f>IF(发票!D18=0,"",发票!D18)</f>
        <v>#DIV/0!</v>
      </c>
      <c r="E27" s="142" t="str">
        <f>IF(发票!E18=0,"",发票!E18)</f>
        <v/>
      </c>
    </row>
    <row r="28" ht="13.5" customHeight="1" spans="1:5">
      <c r="A28" s="50" t="str">
        <f>IF(发票!A19=0,"",发票!A19)</f>
        <v/>
      </c>
      <c r="B28" s="50" t="str">
        <f>IF(发票!B19=0,"",发票!B19)</f>
        <v/>
      </c>
      <c r="C28" s="142" t="str">
        <f>IF(发票!C19=0,"",发票!C19)</f>
        <v/>
      </c>
      <c r="D28" s="142" t="e">
        <f>IF(发票!D19=0,"",发票!D19)</f>
        <v>#DIV/0!</v>
      </c>
      <c r="E28" s="142" t="str">
        <f>IF(发票!E19=0,"",发票!E19)</f>
        <v/>
      </c>
    </row>
    <row r="29" ht="13.5" customHeight="1" spans="1:5">
      <c r="A29" s="50" t="str">
        <f>IF(发票!A20=0,"",发票!A20)</f>
        <v/>
      </c>
      <c r="B29" s="50" t="str">
        <f>IF(发票!B20=0,"",发票!B20)</f>
        <v/>
      </c>
      <c r="C29" s="142" t="str">
        <f>IF(发票!C20=0,"",发票!C20)</f>
        <v/>
      </c>
      <c r="D29" s="142" t="e">
        <f>IF(发票!D20=0,"",发票!D20)</f>
        <v>#DIV/0!</v>
      </c>
      <c r="E29" s="142" t="str">
        <f>IF(发票!E20=0,"",发票!E20)</f>
        <v/>
      </c>
    </row>
    <row r="30" ht="13.5" customHeight="1" spans="1:5">
      <c r="A30" s="50" t="str">
        <f>IF(发票!A21=0,"",发票!A21)</f>
        <v/>
      </c>
      <c r="B30" s="50"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3">
      <c r="A34" s="126" t="s">
        <v>29</v>
      </c>
      <c r="C34" s="126" t="s">
        <v>30</v>
      </c>
    </row>
    <row r="35" s="126" customFormat="1" ht="12" customHeight="1" spans="1:4">
      <c r="A35" s="126" t="s">
        <v>31</v>
      </c>
      <c r="D35" s="126" t="s">
        <v>32</v>
      </c>
    </row>
    <row r="36" s="126" customFormat="1" ht="12" customHeight="1" spans="1:4">
      <c r="A36" s="126" t="s">
        <v>33</v>
      </c>
      <c r="D36" s="126" t="s">
        <v>34</v>
      </c>
    </row>
    <row r="37" s="126" customFormat="1" ht="12" customHeight="1" spans="1:4">
      <c r="A37" s="126" t="s">
        <v>35</v>
      </c>
      <c r="D37" s="126" t="s">
        <v>36</v>
      </c>
    </row>
    <row r="38" s="126" customFormat="1" ht="12" customHeight="1" spans="1:4">
      <c r="A38" s="126" t="s">
        <v>37</v>
      </c>
      <c r="D38" s="126" t="s">
        <v>38</v>
      </c>
    </row>
    <row r="39" s="126" customFormat="1" ht="12" customHeight="1" spans="1:4">
      <c r="A39" s="126" t="s">
        <v>39</v>
      </c>
      <c r="D39" s="126" t="s">
        <v>40</v>
      </c>
    </row>
    <row r="40" s="126" customFormat="1" ht="12" customHeight="1" spans="1:1">
      <c r="A40" s="126" t="s">
        <v>41</v>
      </c>
    </row>
    <row r="41" s="126" customFormat="1" ht="16.5" customHeight="1" spans="1:1">
      <c r="A41" s="151" t="s">
        <v>42</v>
      </c>
    </row>
    <row r="42" s="126" customFormat="1" ht="93" customHeight="1" spans="1:1">
      <c r="A42" s="151" t="s">
        <v>43</v>
      </c>
    </row>
    <row r="43" s="126" customFormat="1" ht="68" customHeight="1" spans="1:1">
      <c r="A43" s="152" t="s">
        <v>44</v>
      </c>
    </row>
    <row r="44" s="126" customFormat="1" ht="12" customHeight="1" spans="1:1">
      <c r="A44" s="126" t="s">
        <v>45</v>
      </c>
    </row>
    <row r="45" s="126" customFormat="1" ht="12" customHeight="1" spans="1:1">
      <c r="A45" s="126" t="s">
        <v>46</v>
      </c>
    </row>
    <row r="50" ht="13.5" spans="1:5">
      <c r="A50" t="s">
        <v>47</v>
      </c>
      <c r="E50" t="s">
        <v>48</v>
      </c>
    </row>
    <row r="51" ht="13.5" customHeight="1" spans="1:1">
      <c r="A51" t="s">
        <v>49</v>
      </c>
    </row>
    <row r="52" ht="13.5" customHeight="1" spans="1:1">
      <c r="A52" t="s">
        <v>50</v>
      </c>
    </row>
    <row r="53" ht="13.5" customHeight="1" spans="1:1">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5">
      <c r="A2" s="110" t="s">
        <v>52</v>
      </c>
      <c r="B2" s="90"/>
      <c r="C2" s="111" t="s">
        <v>2</v>
      </c>
      <c r="D2" s="79"/>
      <c r="E2" s="90"/>
    </row>
    <row r="3" spans="1:5">
      <c r="A3" s="112"/>
      <c r="B3" s="51"/>
      <c r="C3" s="113" t="s">
        <v>5</v>
      </c>
      <c r="E3" s="51"/>
    </row>
    <row r="4" spans="1:5">
      <c r="A4" s="112"/>
      <c r="B4" s="51"/>
      <c r="C4" s="114" t="s">
        <v>53</v>
      </c>
      <c r="E4" s="51"/>
    </row>
    <row r="5" spans="1:5">
      <c r="A5" s="115"/>
      <c r="B5" s="116"/>
      <c r="C5" s="115"/>
      <c r="D5" s="117"/>
      <c r="E5" s="116"/>
    </row>
    <row r="6" ht="38" customHeight="1" spans="1:5">
      <c r="A6" s="118" t="s">
        <v>54</v>
      </c>
      <c r="B6" s="92"/>
      <c r="C6" s="119" t="str">
        <f>"Invoice No.:"&amp;装箱单!K8</f>
        <v>Invoice No.:</v>
      </c>
      <c r="D6" s="116"/>
      <c r="E6" s="120" t="str">
        <f>"DATE:."&amp;TEXT(装箱单!K7,"yyyy-mm-dd")</f>
        <v>DATE:.1900-01-00</v>
      </c>
    </row>
    <row r="7" ht="38" customHeight="1" spans="1:5">
      <c r="A7" s="118" t="s">
        <v>55</v>
      </c>
      <c r="B7" s="92"/>
      <c r="C7" s="118" t="str">
        <f>"S\C No."&amp;装箱单!K9</f>
        <v>S\C No.</v>
      </c>
      <c r="D7" s="92"/>
      <c r="E7" s="121"/>
    </row>
    <row r="8" ht="24" customHeight="1" spans="1:5">
      <c r="A8" s="122" t="s">
        <v>56</v>
      </c>
      <c r="B8" s="122" t="s">
        <v>23</v>
      </c>
      <c r="C8" s="122" t="s">
        <v>57</v>
      </c>
      <c r="D8" s="122" t="s">
        <v>58</v>
      </c>
      <c r="E8" s="122" t="s">
        <v>59</v>
      </c>
    </row>
    <row r="9" ht="36" customHeight="1" spans="1:5">
      <c r="A9" s="50"/>
      <c r="B9" s="50"/>
      <c r="C9" s="123"/>
      <c r="D9" s="123" t="e">
        <f t="shared" ref="D9:D22" si="0">ROUND(E9/C9,8)</f>
        <v>#DIV/0!</v>
      </c>
      <c r="E9" s="123"/>
    </row>
    <row r="10" ht="27" customHeight="1" spans="1:5">
      <c r="A10" s="50"/>
      <c r="B10" s="50"/>
      <c r="C10" s="123"/>
      <c r="D10" s="123" t="e">
        <f t="shared" si="0"/>
        <v>#DIV/0!</v>
      </c>
      <c r="E10" s="123"/>
    </row>
    <row r="11" ht="27" customHeight="1" spans="1:5">
      <c r="A11" s="50"/>
      <c r="B11" s="50"/>
      <c r="C11" s="123"/>
      <c r="D11" s="123" t="e">
        <f t="shared" si="0"/>
        <v>#DIV/0!</v>
      </c>
      <c r="E11" s="123"/>
    </row>
    <row r="12" ht="27" customHeight="1" spans="1:5">
      <c r="A12" s="50"/>
      <c r="B12" s="50"/>
      <c r="C12" s="123"/>
      <c r="D12" s="123" t="e">
        <f t="shared" si="0"/>
        <v>#DIV/0!</v>
      </c>
      <c r="E12" s="123"/>
    </row>
    <row r="13" ht="27" customHeight="1" spans="1:5">
      <c r="A13" s="50"/>
      <c r="B13" s="50"/>
      <c r="C13" s="123"/>
      <c r="D13" s="123" t="e">
        <f t="shared" si="0"/>
        <v>#DIV/0!</v>
      </c>
      <c r="E13" s="123"/>
    </row>
    <row r="14" ht="27" customHeight="1" spans="1:5">
      <c r="A14" s="50"/>
      <c r="B14" s="50"/>
      <c r="C14" s="123"/>
      <c r="D14" s="123" t="e">
        <f t="shared" si="0"/>
        <v>#DIV/0!</v>
      </c>
      <c r="E14" s="123"/>
    </row>
    <row r="15" ht="27" customHeight="1" spans="1:5">
      <c r="A15" s="50"/>
      <c r="B15" s="50"/>
      <c r="C15" s="123"/>
      <c r="D15" s="123" t="e">
        <f t="shared" si="0"/>
        <v>#DIV/0!</v>
      </c>
      <c r="E15" s="123"/>
    </row>
    <row r="16" ht="27" customHeight="1" spans="1:5">
      <c r="A16" s="50"/>
      <c r="B16" s="50"/>
      <c r="C16" s="123"/>
      <c r="D16" s="123" t="e">
        <f t="shared" si="0"/>
        <v>#DIV/0!</v>
      </c>
      <c r="E16" s="123"/>
    </row>
    <row r="17" ht="27" customHeight="1" spans="1:5">
      <c r="A17" s="50"/>
      <c r="B17" s="50"/>
      <c r="C17" s="123"/>
      <c r="D17" s="123" t="e">
        <f t="shared" si="0"/>
        <v>#DIV/0!</v>
      </c>
      <c r="E17" s="123"/>
    </row>
    <row r="18" ht="27" customHeight="1" spans="1:5">
      <c r="A18" s="50"/>
      <c r="B18" s="50"/>
      <c r="C18" s="123"/>
      <c r="D18" s="123" t="e">
        <f t="shared" si="0"/>
        <v>#DIV/0!</v>
      </c>
      <c r="E18" s="123"/>
    </row>
    <row r="19" ht="27" customHeight="1" spans="1:5">
      <c r="A19" s="50"/>
      <c r="B19" s="50"/>
      <c r="C19" s="123"/>
      <c r="D19" s="123" t="e">
        <f t="shared" si="0"/>
        <v>#DIV/0!</v>
      </c>
      <c r="E19" s="123"/>
    </row>
    <row r="20" ht="27" customHeight="1" spans="1:5">
      <c r="A20" s="50"/>
      <c r="B20" s="50"/>
      <c r="C20" s="123"/>
      <c r="D20" s="123" t="e">
        <f t="shared" si="0"/>
        <v>#DIV/0!</v>
      </c>
      <c r="E20" s="123"/>
    </row>
    <row r="21" ht="27" customHeight="1" spans="2:5">
      <c r="B21" s="50"/>
      <c r="C21" s="123"/>
      <c r="D21" s="123" t="e">
        <f t="shared" si="0"/>
        <v>#DIV/0!</v>
      </c>
      <c r="E21" s="123"/>
    </row>
    <row r="22" ht="27" customHeight="1" spans="1:5">
      <c r="A22" s="50"/>
      <c r="B22" s="50"/>
      <c r="C22" s="123"/>
      <c r="D22" s="123" t="e">
        <f t="shared" si="0"/>
        <v>#DIV/0!</v>
      </c>
      <c r="E22" s="123"/>
    </row>
    <row r="23" ht="44" customHeight="1" spans="1:7">
      <c r="A23" s="124" t="s">
        <v>60</v>
      </c>
      <c r="B23" s="91">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
      <c r="A1" s="69" t="s">
        <v>2</v>
      </c>
    </row>
    <row r="2" ht="32" customHeight="1" spans="1:1">
      <c r="A2" s="70" t="s">
        <v>5</v>
      </c>
    </row>
    <row r="3" ht="21" customHeight="1" spans="1:8">
      <c r="A3" s="71"/>
      <c r="B3" s="72"/>
      <c r="C3" s="72"/>
      <c r="D3" s="72"/>
      <c r="E3" s="72"/>
      <c r="F3" s="72"/>
      <c r="G3" s="73"/>
      <c r="H3" s="74"/>
    </row>
    <row r="4" ht="21" customHeight="1" spans="1:8">
      <c r="A4" s="71"/>
      <c r="B4" s="72"/>
      <c r="C4" s="72"/>
      <c r="D4" s="72"/>
      <c r="E4" s="72"/>
      <c r="F4" s="72"/>
      <c r="G4" s="73"/>
      <c r="H4" s="75"/>
    </row>
    <row r="5" ht="25" customHeight="1" spans="1:1">
      <c r="A5" s="76" t="s">
        <v>61</v>
      </c>
    </row>
    <row r="6" ht="14" customHeight="1" spans="1:8">
      <c r="A6" s="71"/>
      <c r="B6" s="72"/>
      <c r="C6" s="72"/>
      <c r="D6" s="72"/>
      <c r="E6" s="72"/>
      <c r="F6" s="72"/>
      <c r="G6" s="73"/>
      <c r="H6" s="74"/>
    </row>
    <row r="7" ht="26" customHeight="1" spans="1:12">
      <c r="A7" s="77" t="s">
        <v>62</v>
      </c>
      <c r="B7" s="78" t="s">
        <v>63</v>
      </c>
      <c r="C7" s="79"/>
      <c r="D7" s="79"/>
      <c r="E7" s="79"/>
      <c r="F7" s="79"/>
      <c r="G7" s="80" t="s">
        <v>64</v>
      </c>
      <c r="H7" s="81"/>
      <c r="I7" s="81"/>
      <c r="J7" s="81"/>
      <c r="K7" s="99">
        <f>报关明细表!A3</f>
        <v>0</v>
      </c>
      <c r="L7" s="92"/>
    </row>
    <row r="8" ht="18.75" customHeight="1" spans="1:12">
      <c r="A8" s="82"/>
      <c r="B8" s="83"/>
      <c r="G8" s="80" t="s">
        <v>65</v>
      </c>
      <c r="H8" s="84"/>
      <c r="I8" s="84"/>
      <c r="J8" s="92"/>
      <c r="K8" s="100"/>
      <c r="L8" s="92"/>
    </row>
    <row r="9" ht="24" customHeight="1" spans="1:12">
      <c r="A9" s="82"/>
      <c r="B9" s="83"/>
      <c r="G9" s="80" t="s">
        <v>66</v>
      </c>
      <c r="H9" s="84"/>
      <c r="I9" s="84"/>
      <c r="J9" s="92"/>
      <c r="K9" s="100"/>
      <c r="L9" s="92"/>
    </row>
    <row r="10" spans="1:12">
      <c r="A10" s="85"/>
      <c r="B10" s="86"/>
      <c r="C10" s="86"/>
      <c r="D10" s="86"/>
      <c r="E10" s="86"/>
      <c r="F10" s="86"/>
      <c r="G10" s="86"/>
      <c r="H10" s="86"/>
      <c r="I10" s="86"/>
      <c r="J10" s="86"/>
      <c r="K10" s="86"/>
      <c r="L10" s="101"/>
    </row>
    <row r="11" ht="30" customHeight="1" spans="1:16">
      <c r="A11" s="87" t="s">
        <v>56</v>
      </c>
      <c r="B11" s="87" t="s">
        <v>23</v>
      </c>
      <c r="C11" s="87" t="s">
        <v>56</v>
      </c>
      <c r="D11" s="88" t="s">
        <v>67</v>
      </c>
      <c r="E11" s="84"/>
      <c r="F11" s="89" t="s">
        <v>68</v>
      </c>
      <c r="G11" s="79"/>
      <c r="H11" s="90"/>
      <c r="I11" s="102" t="s">
        <v>69</v>
      </c>
      <c r="J11" s="79"/>
      <c r="K11" s="90"/>
      <c r="L11" s="48" t="s">
        <v>70</v>
      </c>
      <c r="P11" s="103"/>
    </row>
    <row r="12" ht="17" customHeight="1" spans="1:16">
      <c r="A12" s="50" t="str">
        <f>IF(报关明细表!B3=0,"",报关明细表!B3)</f>
        <v/>
      </c>
      <c r="B12" s="50" t="str">
        <f>IF(报关明细表!D3=0,"",报关明细表!D3)</f>
        <v/>
      </c>
      <c r="C12" s="50" t="str">
        <f>IFERROR(VLOOKUP(A12,报关明细表!$B$3:$C$25,2,FALSE),"")</f>
        <v/>
      </c>
      <c r="D12" s="91" t="str">
        <f>IFERROR(VLOOKUP(A12,报关明细表!B$3:H$27,4,FALSE),"")</f>
        <v/>
      </c>
      <c r="E12" s="92"/>
      <c r="F12" s="91" t="str">
        <f>IFERROR(VLOOKUP(A12,报关明细表!B$3:H$27,7,FALSE),"")</f>
        <v/>
      </c>
      <c r="G12" s="84"/>
      <c r="H12" s="92"/>
      <c r="I12" s="91" t="str">
        <f>IFERROR(VLOOKUP(A12,报关明细表!B$3:J$27,9,FALSE),"")</f>
        <v/>
      </c>
      <c r="J12" s="84"/>
      <c r="K12" s="92"/>
      <c r="L12" s="50" t="str">
        <f>IFERROR(VLOOKUP(A12,报关明细表!B$3:F$27,5,FALSE),"")</f>
        <v/>
      </c>
      <c r="P12" s="103"/>
    </row>
    <row r="13" ht="17" customHeight="1" spans="1:16">
      <c r="A13" s="50" t="str">
        <f>IF(报关明细表!B4=0,"",报关明细表!B4)</f>
        <v/>
      </c>
      <c r="B13" s="50" t="str">
        <f>IF(报关明细表!D4=0,"",报关明细表!D4)</f>
        <v/>
      </c>
      <c r="C13" s="50" t="str">
        <f>IFERROR(VLOOKUP(A13,报关明细表!$B$3:$C$25,2,FALSE),"")</f>
        <v/>
      </c>
      <c r="D13" s="91" t="str">
        <f>IFERROR(VLOOKUP(A13,报关明细表!B$3:H$27,4,FALSE),"")</f>
        <v/>
      </c>
      <c r="E13" s="92"/>
      <c r="F13" s="91" t="str">
        <f>IFERROR(VLOOKUP(A13,报关明细表!B$3:H$27,7,FALSE),"")</f>
        <v/>
      </c>
      <c r="G13" s="84"/>
      <c r="H13" s="92"/>
      <c r="I13" s="91" t="str">
        <f>IFERROR(VLOOKUP(A13,报关明细表!B$3:J$27,9,FALSE),"")</f>
        <v/>
      </c>
      <c r="J13" s="84"/>
      <c r="K13" s="92"/>
      <c r="L13" s="50" t="str">
        <f>IFERROR(VLOOKUP(A13,报关明细表!B$3:F$27,5,FALSE),"")</f>
        <v/>
      </c>
      <c r="P13" s="103"/>
    </row>
    <row r="14" ht="17" customHeight="1" spans="1:12">
      <c r="A14" s="50" t="str">
        <f>IF(报关明细表!B5=0,"",报关明细表!B5)</f>
        <v/>
      </c>
      <c r="B14" s="50" t="str">
        <f>IF(报关明细表!D5=0,"",报关明细表!D5)</f>
        <v/>
      </c>
      <c r="C14" s="50" t="str">
        <f>IFERROR(VLOOKUP(A14,报关明细表!$B$3:$C$25,2,FALSE),"")</f>
        <v/>
      </c>
      <c r="D14" s="91" t="str">
        <f>IFERROR(VLOOKUP(A14,报关明细表!B$3:H$27,4,FALSE),"")</f>
        <v/>
      </c>
      <c r="E14" s="92"/>
      <c r="F14" s="91" t="str">
        <f>IFERROR(VLOOKUP(A14,报关明细表!B$3:H$27,7,FALSE),"")</f>
        <v/>
      </c>
      <c r="G14" s="84"/>
      <c r="H14" s="92"/>
      <c r="I14" s="91" t="str">
        <f>IFERROR(VLOOKUP(A14,报关明细表!B$3:J$27,9,FALSE),"")</f>
        <v/>
      </c>
      <c r="J14" s="84"/>
      <c r="K14" s="92"/>
      <c r="L14" s="50" t="str">
        <f>IFERROR(VLOOKUP(A14,报关明细表!B$3:F$27,5,FALSE),"")</f>
        <v/>
      </c>
    </row>
    <row r="15" ht="17" customHeight="1" spans="1:13">
      <c r="A15" s="50" t="str">
        <f>IF(报关明细表!B6=0,"",报关明细表!B6)</f>
        <v/>
      </c>
      <c r="B15" s="50" t="str">
        <f>IF(报关明细表!D6=0,"",报关明细表!D6)</f>
        <v/>
      </c>
      <c r="C15" s="50" t="str">
        <f>IFERROR(VLOOKUP(A15,报关明细表!$B$3:$C$25,2,FALSE),"")</f>
        <v/>
      </c>
      <c r="D15" s="91" t="str">
        <f>IFERROR(VLOOKUP(A15,报关明细表!B$3:H$27,4,FALSE),"")</f>
        <v/>
      </c>
      <c r="E15" s="92"/>
      <c r="F15" s="91" t="str">
        <f>IFERROR(VLOOKUP(A15,报关明细表!B$3:H$27,7,FALSE),"")</f>
        <v/>
      </c>
      <c r="G15" s="84"/>
      <c r="H15" s="92"/>
      <c r="I15" s="91" t="str">
        <f>IFERROR(VLOOKUP(A15,报关明细表!B$3:J$27,9,FALSE),"")</f>
        <v/>
      </c>
      <c r="J15" s="84"/>
      <c r="K15" s="92"/>
      <c r="L15" s="50" t="str">
        <f>IFERROR(VLOOKUP(A15,报关明细表!B$3:F$27,5,FALSE),"")</f>
        <v/>
      </c>
      <c r="M15" s="104"/>
    </row>
    <row r="16" ht="17" customHeight="1" spans="1:12">
      <c r="A16" s="50" t="str">
        <f>IF(报关明细表!B7=0,"",报关明细表!B7)</f>
        <v/>
      </c>
      <c r="B16" s="50" t="str">
        <f>IF(报关明细表!D7=0,"",报关明细表!D7)</f>
        <v/>
      </c>
      <c r="C16" s="50" t="str">
        <f>IFERROR(VLOOKUP(A16,报关明细表!$B$3:$C$25,2,FALSE),"")</f>
        <v/>
      </c>
      <c r="D16" s="91" t="str">
        <f>IFERROR(VLOOKUP(A16,报关明细表!B$3:H$27,4,FALSE),"")</f>
        <v/>
      </c>
      <c r="E16" s="92"/>
      <c r="F16" s="91" t="str">
        <f>IFERROR(VLOOKUP(A16,报关明细表!B$3:H$27,7,FALSE),"")</f>
        <v/>
      </c>
      <c r="G16" s="84"/>
      <c r="H16" s="92"/>
      <c r="I16" s="91" t="str">
        <f>IFERROR(VLOOKUP(A16,报关明细表!B$3:J$27,9,FALSE),"")</f>
        <v/>
      </c>
      <c r="J16" s="84"/>
      <c r="K16" s="92"/>
      <c r="L16" s="50" t="str">
        <f>IFERROR(VLOOKUP(A16,报关明细表!B$3:F$27,5,FALSE),"")</f>
        <v/>
      </c>
    </row>
    <row r="17" ht="17" customHeight="1" spans="1:12">
      <c r="A17" s="50" t="str">
        <f>IF(报关明细表!B8=0,"",报关明细表!B8)</f>
        <v/>
      </c>
      <c r="B17" s="50" t="str">
        <f>IF(报关明细表!D8=0,"",报关明细表!D8)</f>
        <v/>
      </c>
      <c r="C17" s="50" t="str">
        <f>IFERROR(VLOOKUP(A17,报关明细表!$B$3:$C$25,2,FALSE),"")</f>
        <v/>
      </c>
      <c r="D17" s="91" t="str">
        <f>IFERROR(VLOOKUP(A17,报关明细表!B$3:H$27,4,FALSE),"")</f>
        <v/>
      </c>
      <c r="E17" s="92"/>
      <c r="F17" s="91" t="str">
        <f>IFERROR(VLOOKUP(A17,报关明细表!B$3:H$27,7,FALSE),"")</f>
        <v/>
      </c>
      <c r="G17" s="84"/>
      <c r="H17" s="92"/>
      <c r="I17" s="91" t="str">
        <f>IFERROR(VLOOKUP(A17,报关明细表!B$3:J$27,9,FALSE),"")</f>
        <v/>
      </c>
      <c r="J17" s="84"/>
      <c r="K17" s="92"/>
      <c r="L17" s="50" t="str">
        <f>IFERROR(VLOOKUP(A17,报关明细表!B$3:F$27,5,FALSE),"")</f>
        <v/>
      </c>
    </row>
    <row r="18" ht="17" customHeight="1" spans="1:12">
      <c r="A18" s="50" t="str">
        <f>IF(报关明细表!B9=0,"",报关明细表!B9)</f>
        <v/>
      </c>
      <c r="B18" s="50" t="str">
        <f>IF(报关明细表!D9=0,"",报关明细表!D9)</f>
        <v/>
      </c>
      <c r="C18" s="50" t="str">
        <f>IFERROR(VLOOKUP(A18,报关明细表!$B$3:$C$25,2,FALSE),"")</f>
        <v/>
      </c>
      <c r="D18" s="91" t="str">
        <f>IFERROR(VLOOKUP(A18,报关明细表!B$3:H$27,4,FALSE),"")</f>
        <v/>
      </c>
      <c r="E18" s="92"/>
      <c r="F18" s="91" t="str">
        <f>IFERROR(VLOOKUP(A18,报关明细表!B$3:H$27,7,FALSE),"")</f>
        <v/>
      </c>
      <c r="G18" s="84"/>
      <c r="H18" s="92"/>
      <c r="I18" s="91" t="str">
        <f>IFERROR(VLOOKUP(A18,报关明细表!B$3:J$27,9,FALSE),"")</f>
        <v/>
      </c>
      <c r="J18" s="84"/>
      <c r="K18" s="92"/>
      <c r="L18" s="50" t="str">
        <f>IFERROR(VLOOKUP(A18,报关明细表!B$3:F$27,5,FALSE),"")</f>
        <v/>
      </c>
    </row>
    <row r="19" ht="17" customHeight="1" spans="1:12">
      <c r="A19" s="50" t="str">
        <f>IF(报关明细表!B10=0,"",报关明细表!B10)</f>
        <v/>
      </c>
      <c r="B19" s="50" t="str">
        <f>IF(报关明细表!D10=0,"",报关明细表!D10)</f>
        <v/>
      </c>
      <c r="C19" s="50" t="str">
        <f>IFERROR(VLOOKUP(A19,报关明细表!$B$3:$C$25,2,FALSE),"")</f>
        <v/>
      </c>
      <c r="D19" s="91" t="str">
        <f>IFERROR(VLOOKUP(A19,报关明细表!B$3:H$27,4,FALSE),"")</f>
        <v/>
      </c>
      <c r="E19" s="92"/>
      <c r="F19" s="91" t="str">
        <f>IFERROR(VLOOKUP(A19,报关明细表!B$3:H$27,7,FALSE),"")</f>
        <v/>
      </c>
      <c r="G19" s="84"/>
      <c r="H19" s="92"/>
      <c r="I19" s="91" t="str">
        <f>IFERROR(VLOOKUP(A19,报关明细表!B$3:J$27,9,FALSE),"")</f>
        <v/>
      </c>
      <c r="J19" s="84"/>
      <c r="K19" s="92"/>
      <c r="L19" s="50" t="str">
        <f>IFERROR(VLOOKUP(A19,报关明细表!B$3:F$27,5,FALSE),"")</f>
        <v/>
      </c>
    </row>
    <row r="20" ht="17" customHeight="1" spans="1:12">
      <c r="A20" s="50" t="str">
        <f>IF(报关明细表!B11=0,"",报关明细表!B11)</f>
        <v/>
      </c>
      <c r="B20" s="50" t="str">
        <f>IF(报关明细表!D11=0,"",报关明细表!D11)</f>
        <v/>
      </c>
      <c r="C20" s="50" t="str">
        <f>IFERROR(VLOOKUP(A20,报关明细表!$B$3:$C$25,2,FALSE),"")</f>
        <v/>
      </c>
      <c r="D20" s="91" t="str">
        <f>IFERROR(VLOOKUP(A20,报关明细表!B$3:H$27,4,FALSE),"")</f>
        <v/>
      </c>
      <c r="E20" s="92"/>
      <c r="F20" s="91" t="str">
        <f>IFERROR(VLOOKUP(A20,报关明细表!B$3:H$27,7,FALSE),"")</f>
        <v/>
      </c>
      <c r="G20" s="84"/>
      <c r="H20" s="92"/>
      <c r="I20" s="91" t="str">
        <f>IFERROR(VLOOKUP(A20,报关明细表!B$3:J$27,9,FALSE),"")</f>
        <v/>
      </c>
      <c r="J20" s="84"/>
      <c r="K20" s="92"/>
      <c r="L20" s="50" t="str">
        <f>IFERROR(VLOOKUP(A20,报关明细表!B$3:F$27,5,FALSE),"")</f>
        <v/>
      </c>
    </row>
    <row r="21" ht="17" customHeight="1" spans="1:12">
      <c r="A21" s="50" t="str">
        <f>IF(报关明细表!B12=0,"",报关明细表!B12)</f>
        <v/>
      </c>
      <c r="B21" s="50" t="str">
        <f>IF(报关明细表!D12=0,"",报关明细表!D12)</f>
        <v/>
      </c>
      <c r="C21" s="50" t="str">
        <f>IFERROR(VLOOKUP(A21,报关明细表!$B$3:$C$25,2,FALSE),"")</f>
        <v/>
      </c>
      <c r="D21" s="91" t="str">
        <f>IFERROR(VLOOKUP(A21,报关明细表!B$3:H$27,4,FALSE),"")</f>
        <v/>
      </c>
      <c r="E21" s="92"/>
      <c r="F21" s="91" t="str">
        <f>IFERROR(VLOOKUP(A21,报关明细表!B$3:H$27,7,FALSE),"")</f>
        <v/>
      </c>
      <c r="G21" s="84"/>
      <c r="H21" s="92"/>
      <c r="I21" s="91" t="str">
        <f>IFERROR(VLOOKUP(A21,报关明细表!B$3:J$27,9,FALSE),"")</f>
        <v/>
      </c>
      <c r="J21" s="84"/>
      <c r="K21" s="92"/>
      <c r="L21" s="50" t="str">
        <f>IFERROR(VLOOKUP(A21,报关明细表!B$3:F$27,5,FALSE),"")</f>
        <v/>
      </c>
    </row>
    <row r="22" ht="17" customHeight="1" spans="1:12">
      <c r="A22" s="50" t="str">
        <f>IF(报关明细表!B13=0,"",报关明细表!B13)</f>
        <v/>
      </c>
      <c r="B22" s="50" t="str">
        <f>IF(报关明细表!D13=0,"",报关明细表!D13)</f>
        <v/>
      </c>
      <c r="C22" s="50" t="str">
        <f>IFERROR(VLOOKUP(A22,报关明细表!$B$3:$C$25,2,FALSE),"")</f>
        <v/>
      </c>
      <c r="D22" s="91" t="str">
        <f>IFERROR(VLOOKUP(A22,报关明细表!B$3:H$27,4,FALSE),"")</f>
        <v/>
      </c>
      <c r="E22" s="92"/>
      <c r="F22" s="91" t="str">
        <f>IFERROR(VLOOKUP(A22,报关明细表!B$3:H$27,7,FALSE),"")</f>
        <v/>
      </c>
      <c r="G22" s="84"/>
      <c r="H22" s="92"/>
      <c r="I22" s="91" t="str">
        <f>IFERROR(VLOOKUP(A22,报关明细表!B$3:J$27,9,FALSE),"")</f>
        <v/>
      </c>
      <c r="J22" s="84"/>
      <c r="K22" s="92"/>
      <c r="L22" s="50" t="str">
        <f>IFERROR(VLOOKUP(A22,报关明细表!B$3:F$27,5,FALSE),"")</f>
        <v/>
      </c>
    </row>
    <row r="23" ht="17" customHeight="1" spans="1:12">
      <c r="A23" s="50" t="str">
        <f>IF(报关明细表!B14=0,"",报关明细表!B14)</f>
        <v/>
      </c>
      <c r="B23" s="50" t="str">
        <f>IF(报关明细表!D14=0,"",报关明细表!D14)</f>
        <v/>
      </c>
      <c r="C23" s="50" t="str">
        <f>IFERROR(VLOOKUP(A23,报关明细表!$B$3:$C$25,2,FALSE),"")</f>
        <v/>
      </c>
      <c r="D23" s="91" t="str">
        <f>IFERROR(VLOOKUP(A23,报关明细表!B$3:H$27,4,FALSE),"")</f>
        <v/>
      </c>
      <c r="E23" s="92"/>
      <c r="F23" s="91" t="str">
        <f>IFERROR(VLOOKUP(A23,报关明细表!B$3:H$27,7,FALSE),"")</f>
        <v/>
      </c>
      <c r="G23" s="84"/>
      <c r="H23" s="92"/>
      <c r="I23" s="91" t="str">
        <f>IFERROR(VLOOKUP(A23,报关明细表!B$3:J$27,9,FALSE),"")</f>
        <v/>
      </c>
      <c r="J23" s="84"/>
      <c r="K23" s="92"/>
      <c r="L23" s="50" t="str">
        <f>IFERROR(VLOOKUP(A23,报关明细表!B$3:F$27,5,FALSE),"")</f>
        <v/>
      </c>
    </row>
    <row r="24" ht="17" customHeight="1" spans="1:12">
      <c r="A24" s="50" t="str">
        <f>IF(报关明细表!B15=0,"",报关明细表!B15)</f>
        <v/>
      </c>
      <c r="B24" s="50" t="str">
        <f>IF(报关明细表!D15=0,"",报关明细表!D15)</f>
        <v/>
      </c>
      <c r="C24" s="50" t="str">
        <f>IFERROR(VLOOKUP(A24,报关明细表!$B$3:$C$25,2,FALSE),"")</f>
        <v/>
      </c>
      <c r="D24" s="91" t="str">
        <f>IFERROR(VLOOKUP(A24,报关明细表!B$3:H$27,4,FALSE),"")</f>
        <v/>
      </c>
      <c r="E24" s="92"/>
      <c r="F24" s="91" t="str">
        <f>IFERROR(VLOOKUP(A24,报关明细表!B$3:H$27,7,FALSE),"")</f>
        <v/>
      </c>
      <c r="G24" s="84"/>
      <c r="H24" s="92"/>
      <c r="I24" s="91" t="str">
        <f>IFERROR(VLOOKUP(A24,报关明细表!B$3:J$27,9,FALSE),"")</f>
        <v/>
      </c>
      <c r="J24" s="84"/>
      <c r="K24" s="92"/>
      <c r="L24" s="50" t="str">
        <f>IFERROR(VLOOKUP(A24,报关明细表!B$3:F$27,5,FALSE),"")</f>
        <v/>
      </c>
    </row>
    <row r="25" ht="17" customHeight="1" spans="1:12">
      <c r="A25" s="50" t="str">
        <f>IF(报关明细表!B16=0,"",报关明细表!B16)</f>
        <v/>
      </c>
      <c r="B25" s="50" t="str">
        <f>IF(报关明细表!D16=0,"",报关明细表!D16)</f>
        <v/>
      </c>
      <c r="C25" s="50" t="str">
        <f>IFERROR(VLOOKUP(A25,报关明细表!$B$3:$C$25,2,FALSE),"")</f>
        <v/>
      </c>
      <c r="D25" s="91" t="str">
        <f>IFERROR(VLOOKUP(A25,报关明细表!B$3:H$27,4,FALSE),"")</f>
        <v/>
      </c>
      <c r="E25" s="92"/>
      <c r="F25" s="91" t="str">
        <f>IFERROR(VLOOKUP(A25,报关明细表!B$3:H$27,7,FALSE),"")</f>
        <v/>
      </c>
      <c r="G25" s="84"/>
      <c r="H25" s="92"/>
      <c r="I25" s="91" t="str">
        <f>IFERROR(VLOOKUP(A25,报关明细表!B$3:J$27,9,FALSE),"")</f>
        <v/>
      </c>
      <c r="J25" s="84"/>
      <c r="K25" s="92"/>
      <c r="L25" s="50" t="str">
        <f>IFERROR(VLOOKUP(A25,报关明细表!B$3:F$27,5,FALSE),"")</f>
        <v/>
      </c>
    </row>
    <row r="26" ht="17" customHeight="1" spans="1:12">
      <c r="A26" s="50" t="str">
        <f>IF(报关明细表!B17=0,"",报关明细表!B17)</f>
        <v/>
      </c>
      <c r="B26" s="50" t="str">
        <f>IF(报关明细表!D17=0,"",报关明细表!D17)</f>
        <v/>
      </c>
      <c r="C26" s="50" t="str">
        <f>IFERROR(VLOOKUP(A26,报关明细表!$B$3:$C$25,2,FALSE),"")</f>
        <v/>
      </c>
      <c r="D26" s="91" t="str">
        <f>IFERROR(VLOOKUP(A26,报关明细表!B$3:H$27,4,FALSE),"")</f>
        <v/>
      </c>
      <c r="E26" s="92"/>
      <c r="F26" s="91" t="str">
        <f>IFERROR(VLOOKUP(A26,报关明细表!B$3:H$27,7,FALSE),"")</f>
        <v/>
      </c>
      <c r="G26" s="84"/>
      <c r="H26" s="92"/>
      <c r="I26" s="91" t="str">
        <f>IFERROR(VLOOKUP(A26,报关明细表!B$3:J$27,9,FALSE),"")</f>
        <v/>
      </c>
      <c r="J26" s="84"/>
      <c r="K26" s="92"/>
      <c r="L26" s="50" t="str">
        <f>IFERROR(VLOOKUP(A26,报关明细表!B$3:F$27,5,FALSE),"")</f>
        <v/>
      </c>
    </row>
    <row r="27" ht="17" customHeight="1" spans="1:12">
      <c r="A27" s="50" t="str">
        <f>IF(报关明细表!B18=0,"",报关明细表!B18)</f>
        <v/>
      </c>
      <c r="B27" s="50" t="str">
        <f>IF(报关明细表!D18=0,"",报关明细表!D18)</f>
        <v/>
      </c>
      <c r="C27" s="50" t="str">
        <f>IFERROR(VLOOKUP(A27,报关明细表!$B$3:$C$25,2,FALSE),"")</f>
        <v/>
      </c>
      <c r="D27" s="91" t="str">
        <f>IFERROR(VLOOKUP(A27,报关明细表!B$3:H$27,4,FALSE),"")</f>
        <v/>
      </c>
      <c r="E27" s="92"/>
      <c r="F27" s="91" t="str">
        <f>IFERROR(VLOOKUP(A27,报关明细表!B$3:H$27,7,FALSE),"")</f>
        <v/>
      </c>
      <c r="G27" s="84"/>
      <c r="H27" s="92"/>
      <c r="I27" s="91" t="str">
        <f>IFERROR(VLOOKUP(A27,报关明细表!B$3:J$27,9,FALSE),"")</f>
        <v/>
      </c>
      <c r="J27" s="84"/>
      <c r="K27" s="92"/>
      <c r="L27" s="50" t="str">
        <f>IFERROR(VLOOKUP(A27,报关明细表!B$3:F$27,5,FALSE),"")</f>
        <v/>
      </c>
    </row>
    <row r="28" ht="17" customHeight="1" spans="1:12">
      <c r="A28" s="50" t="str">
        <f>IF(报关明细表!B19=0,"",报关明细表!B19)</f>
        <v/>
      </c>
      <c r="B28" s="50" t="str">
        <f>IF(报关明细表!D19=0,"",报关明细表!D19)</f>
        <v/>
      </c>
      <c r="C28" s="50" t="str">
        <f>IFERROR(VLOOKUP(A28,报关明细表!$B$3:$C$25,2,FALSE),"")</f>
        <v/>
      </c>
      <c r="D28" s="91" t="str">
        <f>IFERROR(VLOOKUP(A28,报关明细表!B$3:H$27,4,FALSE),"")</f>
        <v/>
      </c>
      <c r="E28" s="92"/>
      <c r="F28" s="91" t="str">
        <f>IFERROR(VLOOKUP(A28,报关明细表!B$3:H$27,7,FALSE),"")</f>
        <v/>
      </c>
      <c r="G28" s="84"/>
      <c r="H28" s="92"/>
      <c r="I28" s="91" t="str">
        <f>IFERROR(VLOOKUP(A28,报关明细表!B$3:J$27,9,FALSE),"")</f>
        <v/>
      </c>
      <c r="J28" s="84"/>
      <c r="K28" s="92"/>
      <c r="L28" s="50" t="str">
        <f>IFERROR(VLOOKUP(A28,报关明细表!B$3:F$27,5,FALSE),"")</f>
        <v/>
      </c>
    </row>
    <row r="29" ht="17" customHeight="1" spans="1:12">
      <c r="A29" s="50" t="str">
        <f>IF(报关明细表!B20=0,"",报关明细表!B20)</f>
        <v/>
      </c>
      <c r="B29" s="50" t="str">
        <f>IF(报关明细表!D20=0,"",报关明细表!D20)</f>
        <v/>
      </c>
      <c r="C29" s="50" t="str">
        <f>IFERROR(VLOOKUP(A29,报关明细表!$B$3:$C$25,2,FALSE),"")</f>
        <v/>
      </c>
      <c r="D29" s="91" t="str">
        <f>IFERROR(VLOOKUP(A29,报关明细表!B$3:H$27,4,FALSE),"")</f>
        <v/>
      </c>
      <c r="E29" s="92"/>
      <c r="F29" s="91" t="str">
        <f>IFERROR(VLOOKUP(A29,报关明细表!B$3:H$27,7,FALSE),"")</f>
        <v/>
      </c>
      <c r="G29" s="84"/>
      <c r="H29" s="92"/>
      <c r="I29" s="91" t="str">
        <f>IFERROR(VLOOKUP(A29,报关明细表!B$3:J$27,9,FALSE),"")</f>
        <v/>
      </c>
      <c r="J29" s="84"/>
      <c r="K29" s="92"/>
      <c r="L29" s="50" t="str">
        <f>IFERROR(VLOOKUP(A29,报关明细表!B$3:F$27,5,FALSE),"")</f>
        <v/>
      </c>
    </row>
    <row r="30" ht="17" customHeight="1" spans="1:12">
      <c r="A30" s="50" t="str">
        <f>IF(报关明细表!B21=0,"",报关明细表!B21)</f>
        <v/>
      </c>
      <c r="B30" s="50" t="str">
        <f>IF(报关明细表!D21=0,"",报关明细表!D21)</f>
        <v/>
      </c>
      <c r="C30" s="50" t="str">
        <f>IFERROR(VLOOKUP(A30,报关明细表!$B$3:$C$25,2,FALSE),"")</f>
        <v/>
      </c>
      <c r="D30" s="91" t="str">
        <f>IFERROR(VLOOKUP(A30,报关明细表!B$3:H$27,4,FALSE),"")</f>
        <v/>
      </c>
      <c r="E30" s="92"/>
      <c r="F30" s="91" t="str">
        <f>IFERROR(VLOOKUP(A30,报关明细表!B$3:H$27,7,FALSE),"")</f>
        <v/>
      </c>
      <c r="G30" s="84"/>
      <c r="H30" s="92"/>
      <c r="I30" s="91" t="str">
        <f>IFERROR(VLOOKUP(A30,报关明细表!B$3:J$27,9,FALSE),"")</f>
        <v/>
      </c>
      <c r="J30" s="84"/>
      <c r="K30" s="92"/>
      <c r="L30" s="50" t="str">
        <f>IFERROR(VLOOKUP(A30,报关明细表!B$3:F$27,5,FALSE),"")</f>
        <v/>
      </c>
    </row>
    <row r="31" ht="17" customHeight="1" spans="1:12">
      <c r="A31" s="50" t="str">
        <f>IF(报关明细表!B22=0,"",报关明细表!B22)</f>
        <v/>
      </c>
      <c r="B31" s="50" t="str">
        <f>IF(报关明细表!D22=0,"",报关明细表!D22)</f>
        <v/>
      </c>
      <c r="C31" s="50" t="str">
        <f>IFERROR(VLOOKUP(A31,报关明细表!$B$3:$C$25,2,FALSE),"")</f>
        <v/>
      </c>
      <c r="D31" s="91" t="str">
        <f>IFERROR(VLOOKUP(A31,报关明细表!B$3:H$27,4,FALSE),"")</f>
        <v/>
      </c>
      <c r="E31" s="92"/>
      <c r="F31" s="91" t="str">
        <f>IFERROR(VLOOKUP(A31,报关明细表!B$3:H$27,7,FALSE),"")</f>
        <v/>
      </c>
      <c r="G31" s="84"/>
      <c r="H31" s="92"/>
      <c r="I31" s="91" t="str">
        <f>IFERROR(VLOOKUP(A31,报关明细表!B$3:J$27,9,FALSE),"")</f>
        <v/>
      </c>
      <c r="J31" s="84"/>
      <c r="K31" s="92"/>
      <c r="L31" s="50" t="str">
        <f>IFERROR(VLOOKUP(A31,报关明细表!B$3:F$27,5,FALSE),"")</f>
        <v/>
      </c>
    </row>
    <row r="32" ht="17" customHeight="1" spans="1:12">
      <c r="A32" s="50" t="str">
        <f>IF(报关明细表!B23=0,"",报关明细表!B23)</f>
        <v/>
      </c>
      <c r="B32" s="50" t="str">
        <f>IF(报关明细表!D23=0,"",报关明细表!D23)</f>
        <v/>
      </c>
      <c r="C32" s="50" t="str">
        <f>IFERROR(VLOOKUP(A32,报关明细表!$B$3:$C$25,2,FALSE),"")</f>
        <v/>
      </c>
      <c r="D32" s="91" t="str">
        <f>IFERROR(VLOOKUP(A32,报关明细表!B$3:H$27,4,FALSE),"")</f>
        <v/>
      </c>
      <c r="E32" s="92"/>
      <c r="F32" s="91" t="str">
        <f>IFERROR(VLOOKUP(A32,报关明细表!B$3:H$27,7,FALSE),"")</f>
        <v/>
      </c>
      <c r="G32" s="84"/>
      <c r="H32" s="92"/>
      <c r="I32" s="91" t="str">
        <f>IFERROR(VLOOKUP(A32,报关明细表!B$3:J$27,9,FALSE),"")</f>
        <v/>
      </c>
      <c r="J32" s="84"/>
      <c r="K32" s="92"/>
      <c r="L32" s="50" t="str">
        <f>IFERROR(VLOOKUP(A32,报关明细表!B$3:F$27,5,FALSE),"")</f>
        <v/>
      </c>
    </row>
    <row r="33" ht="17" customHeight="1" spans="1:12">
      <c r="A33" s="50" t="str">
        <f>IF(报关明细表!B24=0,"",报关明细表!B24)</f>
        <v/>
      </c>
      <c r="B33" s="50" t="str">
        <f>IF(报关明细表!D24=0,"",报关明细表!D24)</f>
        <v/>
      </c>
      <c r="C33" s="50" t="str">
        <f>IFERROR(VLOOKUP(A33,报关明细表!$B$3:$C$25,2,FALSE),"")</f>
        <v/>
      </c>
      <c r="D33" s="91" t="str">
        <f>IFERROR(VLOOKUP(A33,报关明细表!B$3:H$27,4,FALSE),"")</f>
        <v/>
      </c>
      <c r="E33" s="92"/>
      <c r="F33" s="91" t="str">
        <f>IFERROR(VLOOKUP(A33,报关明细表!B$3:H$27,7,FALSE),"")</f>
        <v/>
      </c>
      <c r="G33" s="84"/>
      <c r="H33" s="92"/>
      <c r="I33" s="91" t="str">
        <f>IFERROR(VLOOKUP(A33,报关明细表!B$3:J$27,9,FALSE),"")</f>
        <v/>
      </c>
      <c r="J33" s="84"/>
      <c r="K33" s="92"/>
      <c r="L33" s="50" t="str">
        <f>IFERROR(VLOOKUP(A33,报关明细表!B$3:F$27,5,FALSE),"")</f>
        <v/>
      </c>
    </row>
    <row r="34" ht="17" customHeight="1" spans="1:12">
      <c r="A34" s="50" t="str">
        <f>IF(报关明细表!B25=0,"",报关明细表!B25)</f>
        <v/>
      </c>
      <c r="B34" s="50" t="str">
        <f>IF(报关明细表!D25=0,"",报关明细表!D25)</f>
        <v/>
      </c>
      <c r="C34" s="50"/>
      <c r="D34" s="91"/>
      <c r="E34" s="92"/>
      <c r="F34" s="91"/>
      <c r="G34" s="84"/>
      <c r="H34" s="92"/>
      <c r="I34" s="91" t="str">
        <f>IFERROR(VLOOKUP(A34,报关明细表!B$3:J$27,9,FALSE),"")</f>
        <v/>
      </c>
      <c r="J34" s="84"/>
      <c r="K34" s="92"/>
      <c r="L34" s="50"/>
    </row>
    <row r="35" ht="17" customHeight="1" spans="1:12">
      <c r="A35" s="91"/>
      <c r="B35" s="50"/>
      <c r="C35" s="50"/>
      <c r="D35" s="91"/>
      <c r="E35" s="92"/>
      <c r="F35" s="91"/>
      <c r="G35" s="84"/>
      <c r="H35" s="92"/>
      <c r="I35" s="91" t="str">
        <f>IFERROR(VLOOKUP(A35,报关明细表!B$3:J$27,9,FALSE),"")</f>
        <v/>
      </c>
      <c r="J35" s="84"/>
      <c r="K35" s="92"/>
      <c r="L35" s="50"/>
    </row>
    <row r="36" s="68" customFormat="1" ht="31" customHeight="1" spans="1:123">
      <c r="A36" s="93" t="s">
        <v>71</v>
      </c>
      <c r="B36" s="94"/>
      <c r="C36" s="95"/>
      <c r="D36" s="95">
        <f>SUM(D12:D35)</f>
        <v>0</v>
      </c>
      <c r="E36" s="95" t="s">
        <v>72</v>
      </c>
      <c r="F36" s="96"/>
      <c r="G36" s="97">
        <f>SUM(F12:H35)</f>
        <v>0</v>
      </c>
      <c r="H36" s="98" t="s">
        <v>73</v>
      </c>
      <c r="I36" s="105"/>
      <c r="J36" s="106">
        <f>SUM(I12:K35)</f>
        <v>0</v>
      </c>
      <c r="K36" s="98"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55"/>
      <c r="M1" s="55"/>
      <c r="N1" s="55"/>
      <c r="P1" s="56"/>
      <c r="Q1" s="67"/>
    </row>
    <row r="2" s="8" customFormat="1" spans="1:17">
      <c r="A2" s="48" t="s">
        <v>75</v>
      </c>
      <c r="B2" s="48" t="s">
        <v>76</v>
      </c>
      <c r="C2" s="48" t="s">
        <v>77</v>
      </c>
      <c r="D2" s="48" t="s">
        <v>18</v>
      </c>
      <c r="E2" s="48" t="s">
        <v>78</v>
      </c>
      <c r="F2" s="48" t="s">
        <v>79</v>
      </c>
      <c r="G2" s="48" t="s">
        <v>80</v>
      </c>
      <c r="H2" s="48" t="s">
        <v>81</v>
      </c>
      <c r="I2" s="48" t="s">
        <v>82</v>
      </c>
      <c r="J2" s="48" t="s">
        <v>83</v>
      </c>
      <c r="K2" s="57" t="s">
        <v>84</v>
      </c>
      <c r="L2" s="58" t="s">
        <v>85</v>
      </c>
      <c r="M2" s="58" t="s">
        <v>86</v>
      </c>
      <c r="N2" s="58" t="s">
        <v>87</v>
      </c>
      <c r="O2" s="57" t="s">
        <v>88</v>
      </c>
      <c r="P2" s="57" t="s">
        <v>89</v>
      </c>
      <c r="Q2" s="67"/>
    </row>
    <row r="3" spans="1:16">
      <c r="A3" s="49">
        <f>工作表2!A1</f>
        <v>0</v>
      </c>
      <c r="B3" s="50" t="str">
        <f>IF(工作表3!A1=0,"",工作表3!A1)</f>
        <v/>
      </c>
      <c r="C3" s="50" t="str">
        <f>IF(工作表3!C1=0,"",工作表3!C1)</f>
        <v/>
      </c>
      <c r="D3" s="50"/>
      <c r="E3" s="50" t="str">
        <f>IF(工作表3!I1=0,"",工作表3!I1)</f>
        <v/>
      </c>
      <c r="F3" s="50" t="str">
        <f>IF(工作表3!D1=0,"",工作表3!D1)</f>
        <v/>
      </c>
      <c r="G3" s="50"/>
      <c r="H3" s="50" t="str">
        <f>IF(工作表3!J1=0,"",工作表3!J1)</f>
        <v/>
      </c>
      <c r="I3" s="50"/>
      <c r="J3" s="50" t="str">
        <f t="shared" ref="J3:J26" si="0">IFERROR(H3+E3/2,"")</f>
        <v/>
      </c>
      <c r="K3" s="50" t="str">
        <f t="shared" ref="K3:K26" si="1">IFERROR(L3/J3,"")</f>
        <v/>
      </c>
      <c r="L3" s="50" t="str">
        <f>IF(工作表3!M1=0,"",工作表3!M1)</f>
        <v/>
      </c>
      <c r="M3" s="50" t="str">
        <f>IF(工作表3!B1=0,"",工作表3!B1)</f>
        <v/>
      </c>
      <c r="N3" s="59"/>
      <c r="O3" s="60"/>
      <c r="P3" s="60"/>
    </row>
    <row r="4" spans="1:16">
      <c r="A4" s="51"/>
      <c r="B4" s="50" t="str">
        <f>IF(工作表3!A2=0,"",工作表3!A2)</f>
        <v/>
      </c>
      <c r="C4" s="50" t="str">
        <f>IF(工作表3!C2=0,"",工作表3!C2)</f>
        <v/>
      </c>
      <c r="D4" s="50"/>
      <c r="E4" s="50" t="str">
        <f>IF(工作表3!I2=0,"",工作表3!I2)</f>
        <v/>
      </c>
      <c r="F4" s="50" t="str">
        <f>IF(工作表3!D2=0,"",工作表3!D2)</f>
        <v/>
      </c>
      <c r="G4" s="50"/>
      <c r="H4" s="50" t="str">
        <f>IF(工作表3!J2=0,"",工作表3!J2)</f>
        <v/>
      </c>
      <c r="I4" s="50"/>
      <c r="J4" s="50" t="str">
        <f t="shared" si="0"/>
        <v/>
      </c>
      <c r="K4" s="50" t="str">
        <f t="shared" si="1"/>
        <v/>
      </c>
      <c r="L4" s="50" t="str">
        <f>IF(工作表3!M2=0,"",工作表3!M2)</f>
        <v/>
      </c>
      <c r="M4" s="50" t="str">
        <f>IF(工作表3!B2=0,"",工作表3!B2)</f>
        <v/>
      </c>
      <c r="N4" s="61"/>
      <c r="O4" s="62"/>
      <c r="P4" s="62"/>
    </row>
    <row r="5" spans="1:16">
      <c r="A5" s="51"/>
      <c r="B5" s="50" t="str">
        <f>IF(工作表3!A3=0,"",工作表3!A3)</f>
        <v/>
      </c>
      <c r="C5" s="50" t="str">
        <f>IF(工作表3!C3=0,"",工作表3!C3)</f>
        <v/>
      </c>
      <c r="D5" s="50"/>
      <c r="E5" s="50" t="str">
        <f>IF(工作表3!I3=0,"",工作表3!I3)</f>
        <v/>
      </c>
      <c r="F5" s="50" t="str">
        <f>IF(工作表3!D3=0,"",工作表3!D3)</f>
        <v/>
      </c>
      <c r="G5" s="50"/>
      <c r="H5" s="50" t="str">
        <f>IF(工作表3!J3=0,"",工作表3!J3)</f>
        <v/>
      </c>
      <c r="I5" s="50"/>
      <c r="J5" s="50" t="str">
        <f t="shared" si="0"/>
        <v/>
      </c>
      <c r="K5" s="50" t="str">
        <f t="shared" si="1"/>
        <v/>
      </c>
      <c r="L5" s="50" t="str">
        <f>IF(工作表3!M3=0,"",工作表3!M3)</f>
        <v/>
      </c>
      <c r="M5" s="50" t="str">
        <f>IF(工作表3!B3=0,"",工作表3!B3)</f>
        <v/>
      </c>
      <c r="N5" s="61"/>
      <c r="O5" s="62"/>
      <c r="P5" s="62"/>
    </row>
    <row r="6" spans="1:16">
      <c r="A6" s="51"/>
      <c r="B6" s="50" t="str">
        <f>IF(工作表3!A4=0,"",工作表3!A4)</f>
        <v/>
      </c>
      <c r="C6" s="50" t="str">
        <f>IF(工作表3!C4=0,"",工作表3!C4)</f>
        <v/>
      </c>
      <c r="D6" s="50"/>
      <c r="E6" s="50" t="str">
        <f>IF(工作表3!I4=0,"",工作表3!I4)</f>
        <v/>
      </c>
      <c r="F6" s="50" t="str">
        <f>IF(工作表3!D4=0,"",工作表3!D4)</f>
        <v/>
      </c>
      <c r="G6" s="50"/>
      <c r="H6" s="50" t="str">
        <f>IF(工作表3!J4=0,"",工作表3!J4)</f>
        <v/>
      </c>
      <c r="I6" s="50"/>
      <c r="J6" s="50" t="str">
        <f t="shared" si="0"/>
        <v/>
      </c>
      <c r="K6" s="50" t="str">
        <f t="shared" si="1"/>
        <v/>
      </c>
      <c r="L6" s="50" t="str">
        <f>IF(工作表3!M4=0,"",工作表3!M4)</f>
        <v/>
      </c>
      <c r="M6" s="50" t="str">
        <f>IF(工作表3!B4=0,"",工作表3!B4)</f>
        <v/>
      </c>
      <c r="N6" s="61"/>
      <c r="O6" s="62"/>
      <c r="P6" s="62"/>
    </row>
    <row r="7" spans="1:16">
      <c r="A7" s="51"/>
      <c r="B7" s="50" t="str">
        <f>IF(工作表3!A5=0,"",工作表3!A5)</f>
        <v/>
      </c>
      <c r="C7" s="50" t="str">
        <f>IF(工作表3!C5=0,"",工作表3!C5)</f>
        <v/>
      </c>
      <c r="D7" s="50"/>
      <c r="E7" s="50" t="str">
        <f>IF(工作表3!I5=0,"",工作表3!I5)</f>
        <v/>
      </c>
      <c r="F7" s="50" t="str">
        <f>IF(工作表3!D5=0,"",工作表3!D5)</f>
        <v/>
      </c>
      <c r="G7" s="50"/>
      <c r="H7" s="50" t="str">
        <f>IF(工作表3!J5=0,"",工作表3!J5)</f>
        <v/>
      </c>
      <c r="I7" s="50"/>
      <c r="J7" s="50" t="str">
        <f t="shared" si="0"/>
        <v/>
      </c>
      <c r="K7" s="50" t="str">
        <f t="shared" si="1"/>
        <v/>
      </c>
      <c r="L7" s="50" t="str">
        <f>IF(工作表3!M5=0,"",工作表3!M5)</f>
        <v/>
      </c>
      <c r="M7" s="50" t="str">
        <f>IF(工作表3!B5=0,"",工作表3!B5)</f>
        <v/>
      </c>
      <c r="N7" s="61"/>
      <c r="O7" s="62"/>
      <c r="P7" s="62"/>
    </row>
    <row r="8" spans="1:16">
      <c r="A8" s="51"/>
      <c r="B8" s="50" t="str">
        <f>IF(工作表3!A6=0,"",工作表3!A6)</f>
        <v/>
      </c>
      <c r="C8" s="50" t="str">
        <f>IF(工作表3!C6=0,"",工作表3!C6)</f>
        <v/>
      </c>
      <c r="D8" s="50"/>
      <c r="E8" s="50" t="str">
        <f>IF(工作表3!I6=0,"",工作表3!I6)</f>
        <v/>
      </c>
      <c r="F8" s="50" t="str">
        <f>IF(工作表3!D6=0,"",工作表3!D6)</f>
        <v/>
      </c>
      <c r="G8" s="50"/>
      <c r="H8" s="50" t="str">
        <f>IF(工作表3!J6=0,"",工作表3!J6)</f>
        <v/>
      </c>
      <c r="I8" s="50"/>
      <c r="J8" s="50" t="str">
        <f t="shared" si="0"/>
        <v/>
      </c>
      <c r="K8" s="50" t="str">
        <f t="shared" si="1"/>
        <v/>
      </c>
      <c r="L8" s="50" t="str">
        <f>IF(工作表3!M6=0,"",工作表3!M6)</f>
        <v/>
      </c>
      <c r="M8" s="50" t="str">
        <f>IF(工作表3!B6=0,"",工作表3!B6)</f>
        <v/>
      </c>
      <c r="N8" s="61"/>
      <c r="O8" s="62"/>
      <c r="P8" s="62"/>
    </row>
    <row r="9" spans="1:16">
      <c r="A9" s="51"/>
      <c r="B9" s="50" t="str">
        <f>IF(工作表3!A7=0,"",工作表3!A7)</f>
        <v/>
      </c>
      <c r="C9" s="50" t="str">
        <f>IF(工作表3!C7=0,"",工作表3!C7)</f>
        <v/>
      </c>
      <c r="D9" s="50"/>
      <c r="E9" s="50" t="str">
        <f>IF(工作表3!I7=0,"",工作表3!I7)</f>
        <v/>
      </c>
      <c r="F9" s="50" t="str">
        <f>IF(工作表3!D7=0,"",工作表3!D7)</f>
        <v/>
      </c>
      <c r="G9" s="50"/>
      <c r="H9" s="50" t="str">
        <f>IF(工作表3!J7=0,"",工作表3!J7)</f>
        <v/>
      </c>
      <c r="I9" s="50"/>
      <c r="J9" s="50" t="str">
        <f t="shared" si="0"/>
        <v/>
      </c>
      <c r="K9" s="50" t="str">
        <f t="shared" si="1"/>
        <v/>
      </c>
      <c r="L9" s="50" t="str">
        <f>IF(工作表3!M7=0,"",工作表3!M7)</f>
        <v/>
      </c>
      <c r="M9" s="50" t="str">
        <f>IF(工作表3!B7=0,"",工作表3!B7)</f>
        <v/>
      </c>
      <c r="N9" s="61"/>
      <c r="O9" s="62"/>
      <c r="P9" s="62"/>
    </row>
    <row r="10" spans="1:16">
      <c r="A10" s="51"/>
      <c r="B10" s="50" t="str">
        <f>IF(工作表3!A8=0,"",工作表3!A8)</f>
        <v/>
      </c>
      <c r="C10" s="50" t="str">
        <f>IF(工作表3!C8=0,"",工作表3!C8)</f>
        <v/>
      </c>
      <c r="D10" s="50"/>
      <c r="E10" s="50" t="str">
        <f>IF(工作表3!I8=0,"",工作表3!I8)</f>
        <v/>
      </c>
      <c r="F10" s="50" t="str">
        <f>IF(工作表3!D8=0,"",工作表3!D8)</f>
        <v/>
      </c>
      <c r="G10" s="50"/>
      <c r="H10" s="50" t="str">
        <f>IF(工作表3!J8=0,"",工作表3!J8)</f>
        <v/>
      </c>
      <c r="I10" s="50"/>
      <c r="J10" s="50" t="str">
        <f t="shared" si="0"/>
        <v/>
      </c>
      <c r="K10" s="50" t="str">
        <f t="shared" si="1"/>
        <v/>
      </c>
      <c r="L10" s="50" t="str">
        <f>IF(工作表3!M8=0,"",工作表3!M8)</f>
        <v/>
      </c>
      <c r="M10" s="50" t="str">
        <f>IF(工作表3!B8=0,"",工作表3!B8)</f>
        <v/>
      </c>
      <c r="N10" s="61"/>
      <c r="O10" s="62"/>
      <c r="P10" s="62"/>
    </row>
    <row r="11" spans="1:16">
      <c r="A11" s="51"/>
      <c r="B11" s="50" t="str">
        <f>IF(工作表3!A9=0,"",工作表3!A9)</f>
        <v/>
      </c>
      <c r="C11" s="50" t="str">
        <f>IF(工作表3!C9=0,"",工作表3!C9)</f>
        <v/>
      </c>
      <c r="D11" s="50"/>
      <c r="E11" s="50" t="str">
        <f>IF(工作表3!I9=0,"",工作表3!I9)</f>
        <v/>
      </c>
      <c r="F11" s="50" t="str">
        <f>IF(工作表3!D9=0,"",工作表3!D9)</f>
        <v/>
      </c>
      <c r="G11" s="50"/>
      <c r="H11" s="50" t="str">
        <f>IF(工作表3!J9=0,"",工作表3!J9)</f>
        <v/>
      </c>
      <c r="I11" s="50"/>
      <c r="J11" s="50" t="str">
        <f t="shared" si="0"/>
        <v/>
      </c>
      <c r="K11" s="50" t="str">
        <f t="shared" si="1"/>
        <v/>
      </c>
      <c r="L11" s="50" t="str">
        <f>IF(工作表3!M9=0,"",工作表3!M9)</f>
        <v/>
      </c>
      <c r="M11" s="50" t="str">
        <f>IF(工作表3!B9=0,"",工作表3!B9)</f>
        <v/>
      </c>
      <c r="N11" s="61"/>
      <c r="O11" s="62"/>
      <c r="P11" s="62"/>
    </row>
    <row r="12" spans="1:16">
      <c r="A12" s="51"/>
      <c r="B12" s="50" t="str">
        <f>IF(工作表3!A10=0,"",工作表3!A10)</f>
        <v/>
      </c>
      <c r="C12" s="50" t="str">
        <f>IF(工作表3!C10=0,"",工作表3!C10)</f>
        <v/>
      </c>
      <c r="D12" s="50"/>
      <c r="E12" s="50" t="str">
        <f>IF(工作表3!I10=0,"",工作表3!I10)</f>
        <v/>
      </c>
      <c r="F12" s="50" t="str">
        <f>IF(工作表3!D10=0,"",工作表3!D10)</f>
        <v/>
      </c>
      <c r="G12" s="50"/>
      <c r="H12" s="50" t="str">
        <f>IF(工作表3!J10=0,"",工作表3!J10)</f>
        <v/>
      </c>
      <c r="I12" s="50"/>
      <c r="J12" s="50" t="str">
        <f t="shared" si="0"/>
        <v/>
      </c>
      <c r="K12" s="50" t="str">
        <f t="shared" si="1"/>
        <v/>
      </c>
      <c r="L12" s="50" t="str">
        <f>IF(工作表3!M10=0,"",工作表3!M10)</f>
        <v/>
      </c>
      <c r="M12" s="50" t="str">
        <f>IF(工作表3!B10=0,"",工作表3!B10)</f>
        <v/>
      </c>
      <c r="N12" s="61"/>
      <c r="O12" s="62"/>
      <c r="P12" s="62"/>
    </row>
    <row r="13" spans="1:16">
      <c r="A13" s="51"/>
      <c r="B13" s="50" t="str">
        <f>IF(工作表3!A11=0,"",工作表3!A11)</f>
        <v/>
      </c>
      <c r="C13" s="50" t="str">
        <f>IF(工作表3!C11=0,"",工作表3!C11)</f>
        <v/>
      </c>
      <c r="D13" s="50"/>
      <c r="E13" s="50" t="str">
        <f>IF(工作表3!I11=0,"",工作表3!I11)</f>
        <v/>
      </c>
      <c r="F13" s="50" t="str">
        <f>IF(工作表3!D11=0,"",工作表3!D11)</f>
        <v/>
      </c>
      <c r="G13" s="50"/>
      <c r="H13" s="50" t="str">
        <f>IF(工作表3!J11=0,"",工作表3!J11)</f>
        <v/>
      </c>
      <c r="I13" s="50"/>
      <c r="J13" s="50" t="str">
        <f t="shared" si="0"/>
        <v/>
      </c>
      <c r="K13" s="50" t="str">
        <f t="shared" si="1"/>
        <v/>
      </c>
      <c r="L13" s="50" t="str">
        <f>IF(工作表3!M11=0,"",工作表3!M11)</f>
        <v/>
      </c>
      <c r="M13" s="50" t="str">
        <f>IF(工作表3!B11=0,"",工作表3!B11)</f>
        <v/>
      </c>
      <c r="N13" s="61"/>
      <c r="O13" s="62"/>
      <c r="P13" s="62"/>
    </row>
    <row r="14" spans="1:16">
      <c r="A14" s="51"/>
      <c r="B14" s="50" t="str">
        <f>IF(工作表3!A12=0,"",工作表3!A12)</f>
        <v/>
      </c>
      <c r="C14" s="50" t="str">
        <f>IF(工作表3!C12=0,"",工作表3!C12)</f>
        <v/>
      </c>
      <c r="D14" s="50"/>
      <c r="E14" s="50" t="str">
        <f>IF(工作表3!I12=0,"",工作表3!I12)</f>
        <v/>
      </c>
      <c r="F14" s="50" t="str">
        <f>IF(工作表3!D12=0,"",工作表3!D12)</f>
        <v/>
      </c>
      <c r="G14" s="50"/>
      <c r="H14" s="50" t="str">
        <f>IF(工作表3!J12=0,"",工作表3!J12)</f>
        <v/>
      </c>
      <c r="I14" s="50"/>
      <c r="J14" s="50" t="str">
        <f t="shared" si="0"/>
        <v/>
      </c>
      <c r="K14" s="50" t="str">
        <f t="shared" si="1"/>
        <v/>
      </c>
      <c r="L14" s="50" t="str">
        <f>IF(工作表3!M12=0,"",工作表3!M12)</f>
        <v/>
      </c>
      <c r="M14" s="50" t="str">
        <f>IF(工作表3!B12=0,"",工作表3!B12)</f>
        <v/>
      </c>
      <c r="N14" s="61"/>
      <c r="O14" s="62"/>
      <c r="P14" s="62"/>
    </row>
    <row r="15" spans="1:16">
      <c r="A15" s="51"/>
      <c r="B15" s="50" t="str">
        <f>IF(工作表3!A13=0,"",工作表3!A13)</f>
        <v/>
      </c>
      <c r="C15" s="50" t="str">
        <f>IF(工作表3!C13=0,"",工作表3!C13)</f>
        <v/>
      </c>
      <c r="D15" s="50"/>
      <c r="E15" s="50" t="str">
        <f>IF(工作表3!I13=0,"",工作表3!I13)</f>
        <v/>
      </c>
      <c r="F15" s="50" t="str">
        <f>IF(工作表3!D13=0,"",工作表3!D13)</f>
        <v/>
      </c>
      <c r="G15" s="50"/>
      <c r="H15" s="50" t="str">
        <f>IF(工作表3!J13=0,"",工作表3!J13)</f>
        <v/>
      </c>
      <c r="I15" s="50"/>
      <c r="J15" s="50" t="str">
        <f t="shared" si="0"/>
        <v/>
      </c>
      <c r="K15" s="50" t="str">
        <f t="shared" si="1"/>
        <v/>
      </c>
      <c r="L15" s="50" t="str">
        <f>IF(工作表3!M13=0,"",工作表3!M13)</f>
        <v/>
      </c>
      <c r="M15" s="50" t="str">
        <f>IF(工作表3!B13=0,"",工作表3!B13)</f>
        <v/>
      </c>
      <c r="N15" s="61"/>
      <c r="O15" s="62"/>
      <c r="P15" s="62"/>
    </row>
    <row r="16" spans="1:16">
      <c r="A16" s="51"/>
      <c r="B16" s="50" t="str">
        <f>IF(工作表3!A14=0,"",工作表3!A14)</f>
        <v/>
      </c>
      <c r="C16" s="50" t="str">
        <f>IF(工作表3!C14=0,"",工作表3!C14)</f>
        <v/>
      </c>
      <c r="D16" s="50"/>
      <c r="E16" s="50" t="str">
        <f>IF(工作表3!I14=0,"",工作表3!I14)</f>
        <v/>
      </c>
      <c r="F16" s="50" t="str">
        <f>IF(工作表3!D14=0,"",工作表3!D14)</f>
        <v/>
      </c>
      <c r="G16" s="50"/>
      <c r="H16" s="50" t="str">
        <f>IF(工作表3!J14=0,"",工作表3!J14)</f>
        <v/>
      </c>
      <c r="I16" s="50"/>
      <c r="J16" s="50" t="str">
        <f t="shared" si="0"/>
        <v/>
      </c>
      <c r="K16" s="50" t="str">
        <f t="shared" si="1"/>
        <v/>
      </c>
      <c r="L16" s="50" t="str">
        <f>IF(工作表3!M14=0,"",工作表3!M14)</f>
        <v/>
      </c>
      <c r="M16" s="50" t="str">
        <f>IF(工作表3!B14=0,"",工作表3!B14)</f>
        <v/>
      </c>
      <c r="N16" s="61"/>
      <c r="O16" s="62"/>
      <c r="P16" s="62"/>
    </row>
    <row r="17" spans="1:16">
      <c r="A17" s="51"/>
      <c r="B17" s="50" t="str">
        <f>IF(工作表3!A15=0,"",工作表3!A15)</f>
        <v/>
      </c>
      <c r="C17" s="50" t="str">
        <f>IF(工作表3!C15=0,"",工作表3!C15)</f>
        <v/>
      </c>
      <c r="D17" s="50"/>
      <c r="E17" s="50" t="str">
        <f>IF(工作表3!I15=0,"",工作表3!I15)</f>
        <v/>
      </c>
      <c r="F17" s="50" t="str">
        <f>IF(工作表3!D15=0,"",工作表3!D15)</f>
        <v/>
      </c>
      <c r="G17" s="50"/>
      <c r="H17" s="50" t="str">
        <f>IF(工作表3!J15=0,"",工作表3!J15)</f>
        <v/>
      </c>
      <c r="I17" s="50"/>
      <c r="J17" s="50" t="str">
        <f t="shared" si="0"/>
        <v/>
      </c>
      <c r="K17" s="50" t="str">
        <f t="shared" si="1"/>
        <v/>
      </c>
      <c r="L17" s="50" t="str">
        <f>IF(工作表3!M15=0,"",工作表3!M15)</f>
        <v/>
      </c>
      <c r="M17" s="50" t="str">
        <f>IF(工作表3!B15=0,"",工作表3!B15)</f>
        <v/>
      </c>
      <c r="N17" s="61"/>
      <c r="O17" s="62"/>
      <c r="P17" s="62"/>
    </row>
    <row r="18" spans="1:16">
      <c r="A18" s="51"/>
      <c r="B18" s="50" t="str">
        <f>IF(工作表3!A16=0,"",工作表3!A16)</f>
        <v/>
      </c>
      <c r="C18" s="50" t="str">
        <f>IF(工作表3!C16=0,"",工作表3!C16)</f>
        <v/>
      </c>
      <c r="D18" s="50"/>
      <c r="E18" s="50" t="str">
        <f>IF(工作表3!I16=0,"",工作表3!I16)</f>
        <v/>
      </c>
      <c r="F18" s="50" t="str">
        <f>IF(工作表3!D16=0,"",工作表3!D16)</f>
        <v/>
      </c>
      <c r="G18" s="50"/>
      <c r="H18" s="50" t="str">
        <f>IF(工作表3!J16=0,"",工作表3!J16)</f>
        <v/>
      </c>
      <c r="I18" s="50"/>
      <c r="J18" s="50" t="str">
        <f t="shared" si="0"/>
        <v/>
      </c>
      <c r="K18" s="50" t="str">
        <f t="shared" si="1"/>
        <v/>
      </c>
      <c r="L18" s="50" t="str">
        <f>IF(工作表3!M16=0,"",工作表3!M16)</f>
        <v/>
      </c>
      <c r="M18" s="50" t="str">
        <f>IF(工作表3!B16=0,"",工作表3!B16)</f>
        <v/>
      </c>
      <c r="N18" s="61"/>
      <c r="O18" s="62"/>
      <c r="P18" s="62"/>
    </row>
    <row r="19" spans="1:16">
      <c r="A19" s="51"/>
      <c r="B19" s="50" t="str">
        <f>IF(工作表3!A17=0,"",工作表3!A17)</f>
        <v/>
      </c>
      <c r="C19" s="50" t="str">
        <f>IF(工作表3!C17=0,"",工作表3!C17)</f>
        <v/>
      </c>
      <c r="D19" s="50"/>
      <c r="E19" s="50" t="str">
        <f>IF(工作表3!I17=0,"",工作表3!I17)</f>
        <v/>
      </c>
      <c r="F19" s="50" t="str">
        <f>IF(工作表3!D17=0,"",工作表3!D17)</f>
        <v/>
      </c>
      <c r="G19" s="50"/>
      <c r="H19" s="50" t="str">
        <f>IF(工作表3!J17=0,"",工作表3!J17)</f>
        <v/>
      </c>
      <c r="I19" s="50"/>
      <c r="J19" s="50" t="str">
        <f t="shared" si="0"/>
        <v/>
      </c>
      <c r="K19" s="50" t="str">
        <f t="shared" si="1"/>
        <v/>
      </c>
      <c r="L19" s="50" t="str">
        <f>IF(工作表3!M17=0,"",工作表3!M17)</f>
        <v/>
      </c>
      <c r="M19" s="50" t="str">
        <f>IF(工作表3!B17=0,"",工作表3!B17)</f>
        <v/>
      </c>
      <c r="N19" s="61"/>
      <c r="O19" s="62"/>
      <c r="P19" s="62"/>
    </row>
    <row r="20" spans="1:16">
      <c r="A20" s="51"/>
      <c r="B20" s="50" t="str">
        <f>IF(工作表3!A18=0,"",工作表3!A18)</f>
        <v/>
      </c>
      <c r="C20" s="50" t="str">
        <f>IF(工作表3!C18=0,"",工作表3!C18)</f>
        <v/>
      </c>
      <c r="D20" s="50"/>
      <c r="E20" s="50" t="str">
        <f>IF(工作表3!I18=0,"",工作表3!I18)</f>
        <v/>
      </c>
      <c r="F20" s="50" t="str">
        <f>IF(工作表3!D18=0,"",工作表3!D18)</f>
        <v/>
      </c>
      <c r="G20" s="50"/>
      <c r="H20" s="50" t="str">
        <f>IF(工作表3!J18=0,"",工作表3!J18)</f>
        <v/>
      </c>
      <c r="I20" s="50"/>
      <c r="J20" s="50" t="str">
        <f t="shared" si="0"/>
        <v/>
      </c>
      <c r="K20" s="50" t="str">
        <f t="shared" si="1"/>
        <v/>
      </c>
      <c r="L20" s="50" t="str">
        <f>IF(工作表3!M18=0,"",工作表3!M18)</f>
        <v/>
      </c>
      <c r="M20" s="50" t="str">
        <f>IF(工作表3!B18=0,"",工作表3!B18)</f>
        <v/>
      </c>
      <c r="N20" s="61"/>
      <c r="O20" s="62"/>
      <c r="P20" s="62"/>
    </row>
    <row r="21" spans="1:16">
      <c r="A21" s="51"/>
      <c r="B21" s="50" t="str">
        <f>IF(工作表3!A19=0,"",工作表3!A19)</f>
        <v/>
      </c>
      <c r="C21" s="50" t="str">
        <f>IF(工作表3!C19=0,"",工作表3!C19)</f>
        <v/>
      </c>
      <c r="D21" s="50"/>
      <c r="E21" s="50" t="str">
        <f>IF(工作表3!I19=0,"",工作表3!I19)</f>
        <v/>
      </c>
      <c r="F21" s="50" t="str">
        <f>IF(工作表3!D19=0,"",工作表3!D19)</f>
        <v/>
      </c>
      <c r="G21" s="50"/>
      <c r="H21" s="50" t="str">
        <f>IF(工作表3!J19=0,"",工作表3!J19)</f>
        <v/>
      </c>
      <c r="I21" s="50"/>
      <c r="J21" s="50" t="str">
        <f t="shared" si="0"/>
        <v/>
      </c>
      <c r="K21" s="50" t="str">
        <f t="shared" si="1"/>
        <v/>
      </c>
      <c r="L21" s="50" t="str">
        <f>IF(工作表3!M19=0,"",工作表3!M19)</f>
        <v/>
      </c>
      <c r="M21" s="50" t="str">
        <f>IF(工作表3!B19=0,"",工作表3!B19)</f>
        <v/>
      </c>
      <c r="N21" s="61"/>
      <c r="O21" s="62"/>
      <c r="P21" s="62"/>
    </row>
    <row r="22" spans="1:16">
      <c r="A22" s="51"/>
      <c r="B22" s="50" t="str">
        <f>IF(工作表3!A20=0,"",工作表3!A20)</f>
        <v/>
      </c>
      <c r="C22" s="50" t="str">
        <f>IF(工作表3!C20=0,"",工作表3!C20)</f>
        <v/>
      </c>
      <c r="D22" s="50"/>
      <c r="E22" s="50" t="str">
        <f>IF(工作表3!I20=0,"",工作表3!I20)</f>
        <v/>
      </c>
      <c r="F22" s="50" t="str">
        <f>IF(工作表3!D20=0,"",工作表3!D20)</f>
        <v/>
      </c>
      <c r="G22" s="50"/>
      <c r="H22" s="50" t="str">
        <f>IF(工作表3!J20=0,"",工作表3!J20)</f>
        <v/>
      </c>
      <c r="I22" s="50"/>
      <c r="J22" s="50" t="str">
        <f t="shared" si="0"/>
        <v/>
      </c>
      <c r="K22" s="50" t="str">
        <f t="shared" si="1"/>
        <v/>
      </c>
      <c r="L22" s="50" t="str">
        <f>IF(工作表3!M20=0,"",工作表3!M20)</f>
        <v/>
      </c>
      <c r="M22" s="50" t="str">
        <f>IF(工作表3!B20=0,"",工作表3!B20)</f>
        <v/>
      </c>
      <c r="N22" s="61"/>
      <c r="O22" s="62"/>
      <c r="P22" s="62"/>
    </row>
    <row r="23" spans="1:16">
      <c r="A23" s="51"/>
      <c r="B23" s="50" t="str">
        <f>IF(工作表3!A21=0,"",工作表3!A21)</f>
        <v/>
      </c>
      <c r="C23" s="50" t="str">
        <f>IF(工作表3!C21=0,"",工作表3!C21)</f>
        <v/>
      </c>
      <c r="D23" s="50"/>
      <c r="E23" s="50" t="str">
        <f>IF(工作表3!I21=0,"",工作表3!I21)</f>
        <v/>
      </c>
      <c r="F23" s="50" t="str">
        <f>IF(工作表3!D21=0,"",工作表3!D21)</f>
        <v/>
      </c>
      <c r="G23" s="50"/>
      <c r="H23" s="50" t="str">
        <f>IF(工作表3!J21=0,"",工作表3!J21)</f>
        <v/>
      </c>
      <c r="I23" s="50"/>
      <c r="J23" s="50" t="str">
        <f t="shared" si="0"/>
        <v/>
      </c>
      <c r="K23" s="50" t="str">
        <f t="shared" si="1"/>
        <v/>
      </c>
      <c r="L23" s="50" t="str">
        <f>IF(工作表3!M21=0,"",工作表3!M21)</f>
        <v/>
      </c>
      <c r="M23" s="50" t="str">
        <f>IF(工作表3!B21=0,"",工作表3!B21)</f>
        <v/>
      </c>
      <c r="N23" s="61"/>
      <c r="O23" s="62"/>
      <c r="P23" s="62"/>
    </row>
    <row r="24" spans="1:16">
      <c r="A24" s="51"/>
      <c r="B24" s="50" t="str">
        <f>IF(工作表3!A22=0,"",工作表3!A22)</f>
        <v/>
      </c>
      <c r="C24" s="50" t="str">
        <f>IF(工作表3!C22=0,"",工作表3!C22)</f>
        <v/>
      </c>
      <c r="D24" s="50"/>
      <c r="E24" s="50" t="str">
        <f>IF(工作表3!I22=0,"",工作表3!I22)</f>
        <v/>
      </c>
      <c r="F24" s="50" t="str">
        <f>IF(工作表3!D22=0,"",工作表3!D22)</f>
        <v/>
      </c>
      <c r="G24" s="50"/>
      <c r="H24" s="50" t="str">
        <f>IF(工作表3!J22=0,"",工作表3!J22)</f>
        <v/>
      </c>
      <c r="I24" s="50"/>
      <c r="J24" s="50" t="str">
        <f t="shared" si="0"/>
        <v/>
      </c>
      <c r="K24" s="50" t="str">
        <f t="shared" si="1"/>
        <v/>
      </c>
      <c r="L24" s="50" t="str">
        <f>IF(工作表3!M22=0,"",工作表3!M22)</f>
        <v/>
      </c>
      <c r="M24" s="50" t="str">
        <f>IF(工作表3!B22=0,"",工作表3!B22)</f>
        <v/>
      </c>
      <c r="N24" s="61"/>
      <c r="O24" s="62"/>
      <c r="P24" s="62"/>
    </row>
    <row r="25" spans="1:16">
      <c r="A25" s="51"/>
      <c r="B25" s="50" t="str">
        <f>IF(工作表3!A23=0,"",工作表3!A23)</f>
        <v/>
      </c>
      <c r="C25" s="50" t="str">
        <f>IF(工作表3!C23=0,"",工作表3!C23)</f>
        <v/>
      </c>
      <c r="D25" s="50"/>
      <c r="E25" s="50" t="str">
        <f>IF(工作表3!I23=0,"",工作表3!I23)</f>
        <v/>
      </c>
      <c r="F25" s="50" t="str">
        <f>IF(工作表3!D23=0,"",工作表3!D23)</f>
        <v/>
      </c>
      <c r="G25" s="50"/>
      <c r="H25" s="50" t="str">
        <f>IF(工作表3!J23=0,"",工作表3!J23)</f>
        <v/>
      </c>
      <c r="I25" s="50"/>
      <c r="J25" s="50" t="str">
        <f t="shared" si="0"/>
        <v/>
      </c>
      <c r="K25" s="50" t="str">
        <f t="shared" si="1"/>
        <v/>
      </c>
      <c r="L25" s="50" t="str">
        <f>IF(工作表3!M23=0,"",工作表3!M23)</f>
        <v/>
      </c>
      <c r="M25" s="50" t="str">
        <f>IF(工作表3!B23=0,"",工作表3!B23)</f>
        <v/>
      </c>
      <c r="N25" s="61"/>
      <c r="O25" s="62"/>
      <c r="P25" s="62"/>
    </row>
    <row r="26" spans="1:16">
      <c r="A26" s="51"/>
      <c r="B26" s="50" t="str">
        <f>IF(工作表3!A24=0,"",工作表3!A24)</f>
        <v/>
      </c>
      <c r="C26" s="50" t="str">
        <f>IF(工作表3!C24=0,"",工作表3!C24)</f>
        <v/>
      </c>
      <c r="D26" s="50"/>
      <c r="E26" s="50" t="str">
        <f>IF(工作表3!I24=0,"",工作表3!I24)</f>
        <v/>
      </c>
      <c r="F26" s="50" t="str">
        <f>IF(工作表3!D24=0,"",工作表3!D24)</f>
        <v/>
      </c>
      <c r="G26" s="50"/>
      <c r="H26" s="50" t="str">
        <f>IF(工作表3!J24=0,"",工作表3!J24)</f>
        <v/>
      </c>
      <c r="I26" s="50"/>
      <c r="J26" s="50" t="str">
        <f t="shared" si="0"/>
        <v/>
      </c>
      <c r="K26" s="50" t="str">
        <f t="shared" si="1"/>
        <v/>
      </c>
      <c r="L26" s="50" t="str">
        <f>IF(工作表3!M24=0,"",工作表3!M24)</f>
        <v/>
      </c>
      <c r="M26" s="50" t="str">
        <f>IF(工作表3!B24=0,"",工作表3!B24)</f>
        <v/>
      </c>
      <c r="N26" s="63"/>
      <c r="O26" s="62"/>
      <c r="P26" s="62"/>
    </row>
    <row r="27" spans="1:16">
      <c r="A27" s="51"/>
      <c r="B27" s="52" t="str">
        <f>IF(工作表3!A25=0,"",工作表3!A25)</f>
        <v/>
      </c>
      <c r="C27" s="52" t="str">
        <f>IF(工作表3!C25=0,"",工作表3!C25)</f>
        <v/>
      </c>
      <c r="D27" s="52"/>
      <c r="E27" s="53">
        <f>SUM(E3:E26)</f>
        <v>0</v>
      </c>
      <c r="F27" s="53" t="str">
        <f>IF(工作表3!D25=0,"",工作表3!D25)</f>
        <v/>
      </c>
      <c r="G27" s="53"/>
      <c r="H27" s="53">
        <f>SUM(H3:H26)</f>
        <v>0</v>
      </c>
      <c r="I27" s="53"/>
      <c r="J27" s="53">
        <f>SUM(J3:J26)</f>
        <v>0</v>
      </c>
      <c r="K27" s="53"/>
      <c r="L27" s="64">
        <f>SUM(L3:L26)</f>
        <v>0</v>
      </c>
      <c r="M27" s="65" t="str">
        <f>IF(工作表3!B25=0,"",工作表3!B25)</f>
        <v/>
      </c>
      <c r="N27" s="65"/>
      <c r="O27" s="62"/>
      <c r="P27" s="62"/>
    </row>
    <row r="28" spans="1:16">
      <c r="A28" s="41">
        <f>工作表2!B1</f>
        <v>0</v>
      </c>
      <c r="O28" s="66"/>
      <c r="P28" s="66"/>
    </row>
    <row r="32" spans="2:2">
      <c r="B32" s="54"/>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9"/>
  <sheetViews>
    <sheetView tabSelected="1" zoomScale="85" zoomScaleNormal="85" workbookViewId="0">
      <selection activeCell="A4" sqref="$A4:$XFD4"/>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5">
      <c r="A1" s="5"/>
      <c r="B1" s="6"/>
      <c r="C1" s="6"/>
      <c r="D1" s="6"/>
      <c r="E1" s="6"/>
    </row>
    <row r="3" spans="1:13">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22" t="s">
        <v>115</v>
      </c>
      <c r="O4"/>
      <c r="P4"/>
    </row>
    <row r="5" spans="1:16">
      <c r="A5" s="8"/>
      <c r="B5" s="9" t="s">
        <v>116</v>
      </c>
      <c r="C5" s="9"/>
      <c r="D5" s="9"/>
      <c r="E5" s="9"/>
      <c r="F5" s="10"/>
      <c r="G5" s="7"/>
      <c r="H5" s="7"/>
      <c r="I5" s="7"/>
      <c r="J5" s="7"/>
      <c r="K5" s="7"/>
      <c r="L5" s="7"/>
      <c r="M5" s="7"/>
      <c r="N5"/>
      <c r="O5"/>
      <c r="P5"/>
    </row>
    <row r="6" spans="1:14">
      <c r="A6" s="11"/>
      <c r="B6" s="11" t="s">
        <v>117</v>
      </c>
      <c r="C6" s="8" t="s">
        <v>99</v>
      </c>
      <c r="D6" s="12" t="s">
        <v>118</v>
      </c>
      <c r="E6" s="13" t="s">
        <v>119</v>
      </c>
      <c r="F6" s="7">
        <v>4</v>
      </c>
      <c r="G6" s="12">
        <v>66</v>
      </c>
      <c r="H6" s="14">
        <v>0.07</v>
      </c>
      <c r="I6" s="23">
        <f t="shared" ref="I6:I21" si="0">G6*(1+H6)</f>
        <v>70.62</v>
      </c>
      <c r="J6" s="8"/>
      <c r="K6" s="24">
        <f t="shared" ref="K6:K60" si="1">J6*F6</f>
        <v>0</v>
      </c>
      <c r="L6" s="24">
        <f t="shared" ref="L6:L69" si="2">K6+J6/2</f>
        <v>0</v>
      </c>
      <c r="M6" s="23">
        <f t="shared" ref="M6:M60" si="3">J6*I6</f>
        <v>0</v>
      </c>
      <c r="N6" s="25">
        <f t="shared" ref="N6:N60" si="4">M6+J6</f>
        <v>0</v>
      </c>
    </row>
    <row r="7" spans="1:14">
      <c r="A7" s="11"/>
      <c r="B7" s="15" t="s">
        <v>120</v>
      </c>
      <c r="C7" s="8" t="s">
        <v>99</v>
      </c>
      <c r="D7" s="12" t="s">
        <v>118</v>
      </c>
      <c r="E7" s="13" t="s">
        <v>119</v>
      </c>
      <c r="F7" s="7">
        <v>4.2</v>
      </c>
      <c r="G7" s="12">
        <v>56</v>
      </c>
      <c r="H7" s="14">
        <v>0.07</v>
      </c>
      <c r="I7" s="23">
        <f t="shared" si="0"/>
        <v>59.92</v>
      </c>
      <c r="J7" s="8"/>
      <c r="K7" s="24">
        <f t="shared" si="1"/>
        <v>0</v>
      </c>
      <c r="L7" s="24">
        <f t="shared" si="2"/>
        <v>0</v>
      </c>
      <c r="M7" s="23">
        <f t="shared" si="3"/>
        <v>0</v>
      </c>
      <c r="N7" s="25">
        <f t="shared" si="4"/>
        <v>0</v>
      </c>
    </row>
    <row r="8" spans="1:14">
      <c r="A8" s="11"/>
      <c r="B8" s="11" t="s">
        <v>121</v>
      </c>
      <c r="C8" s="8" t="s">
        <v>99</v>
      </c>
      <c r="D8" s="12" t="s">
        <v>118</v>
      </c>
      <c r="E8" s="13" t="s">
        <v>119</v>
      </c>
      <c r="F8" s="7">
        <v>5.5</v>
      </c>
      <c r="G8" s="12">
        <v>78</v>
      </c>
      <c r="H8" s="14">
        <v>0.07</v>
      </c>
      <c r="I8" s="23">
        <f t="shared" si="0"/>
        <v>83.46</v>
      </c>
      <c r="J8" s="8"/>
      <c r="K8" s="24">
        <f t="shared" si="1"/>
        <v>0</v>
      </c>
      <c r="L8" s="24">
        <f t="shared" si="2"/>
        <v>0</v>
      </c>
      <c r="M8" s="23">
        <f t="shared" si="3"/>
        <v>0</v>
      </c>
      <c r="N8" s="25">
        <f t="shared" si="4"/>
        <v>0</v>
      </c>
    </row>
    <row r="9" spans="1:14">
      <c r="A9" s="11"/>
      <c r="B9" s="11" t="s">
        <v>122</v>
      </c>
      <c r="C9" s="8" t="s">
        <v>99</v>
      </c>
      <c r="D9" s="12" t="s">
        <v>123</v>
      </c>
      <c r="E9" s="13" t="s">
        <v>124</v>
      </c>
      <c r="F9" s="7">
        <v>4</v>
      </c>
      <c r="G9" s="12">
        <v>55</v>
      </c>
      <c r="H9" s="14">
        <v>0.07</v>
      </c>
      <c r="I9" s="23">
        <f t="shared" si="0"/>
        <v>58.85</v>
      </c>
      <c r="J9" s="8"/>
      <c r="K9" s="24">
        <f t="shared" si="1"/>
        <v>0</v>
      </c>
      <c r="L9" s="24">
        <f t="shared" si="2"/>
        <v>0</v>
      </c>
      <c r="M9" s="23">
        <f t="shared" si="3"/>
        <v>0</v>
      </c>
      <c r="N9" s="25">
        <f t="shared" si="4"/>
        <v>0</v>
      </c>
    </row>
    <row r="10" spans="1:14">
      <c r="A10" s="11"/>
      <c r="B10" s="11" t="s">
        <v>125</v>
      </c>
      <c r="C10" s="8" t="s">
        <v>99</v>
      </c>
      <c r="D10" s="12" t="s">
        <v>126</v>
      </c>
      <c r="E10" s="13" t="s">
        <v>127</v>
      </c>
      <c r="F10" s="7">
        <v>4.14</v>
      </c>
      <c r="G10" s="12">
        <v>55</v>
      </c>
      <c r="H10" s="14">
        <v>0.07</v>
      </c>
      <c r="I10" s="23">
        <f t="shared" si="0"/>
        <v>58.85</v>
      </c>
      <c r="J10" s="8"/>
      <c r="K10" s="24">
        <f t="shared" si="1"/>
        <v>0</v>
      </c>
      <c r="L10" s="24">
        <f t="shared" si="2"/>
        <v>0</v>
      </c>
      <c r="M10" s="23">
        <f t="shared" si="3"/>
        <v>0</v>
      </c>
      <c r="N10" s="25">
        <f t="shared" si="4"/>
        <v>0</v>
      </c>
    </row>
    <row r="11" spans="1:14">
      <c r="A11" s="11"/>
      <c r="B11" s="15" t="s">
        <v>128</v>
      </c>
      <c r="C11" s="8" t="s">
        <v>99</v>
      </c>
      <c r="D11" s="12" t="s">
        <v>126</v>
      </c>
      <c r="E11" s="13" t="s">
        <v>129</v>
      </c>
      <c r="F11" s="7">
        <v>6.8</v>
      </c>
      <c r="G11" s="12">
        <v>80</v>
      </c>
      <c r="H11" s="14">
        <v>0.07</v>
      </c>
      <c r="I11" s="23">
        <f t="shared" si="0"/>
        <v>85.6</v>
      </c>
      <c r="J11" s="8"/>
      <c r="K11" s="24">
        <f t="shared" si="1"/>
        <v>0</v>
      </c>
      <c r="L11" s="24">
        <f t="shared" si="2"/>
        <v>0</v>
      </c>
      <c r="M11" s="23">
        <f t="shared" si="3"/>
        <v>0</v>
      </c>
      <c r="N11" s="25">
        <f t="shared" si="4"/>
        <v>0</v>
      </c>
    </row>
    <row r="12" spans="1:14">
      <c r="A12" s="11"/>
      <c r="B12" s="11" t="s">
        <v>130</v>
      </c>
      <c r="C12" s="8" t="s">
        <v>99</v>
      </c>
      <c r="D12" s="12" t="s">
        <v>126</v>
      </c>
      <c r="E12" s="13" t="s">
        <v>124</v>
      </c>
      <c r="F12" s="7">
        <v>8</v>
      </c>
      <c r="G12" s="12">
        <v>63</v>
      </c>
      <c r="H12" s="14">
        <v>0.07</v>
      </c>
      <c r="I12" s="23">
        <f t="shared" si="0"/>
        <v>67.41</v>
      </c>
      <c r="J12" s="8"/>
      <c r="K12" s="24">
        <f t="shared" si="1"/>
        <v>0</v>
      </c>
      <c r="L12" s="24">
        <f t="shared" si="2"/>
        <v>0</v>
      </c>
      <c r="M12" s="23">
        <f t="shared" si="3"/>
        <v>0</v>
      </c>
      <c r="N12" s="25">
        <f t="shared" si="4"/>
        <v>0</v>
      </c>
    </row>
    <row r="13" spans="1:14">
      <c r="A13" s="11"/>
      <c r="B13" s="15" t="s">
        <v>131</v>
      </c>
      <c r="C13" s="8" t="s">
        <v>99</v>
      </c>
      <c r="D13" s="12" t="s">
        <v>126</v>
      </c>
      <c r="E13" s="13" t="s">
        <v>127</v>
      </c>
      <c r="F13" s="7">
        <v>6.03</v>
      </c>
      <c r="G13" s="12">
        <v>79</v>
      </c>
      <c r="H13" s="14">
        <v>0.07</v>
      </c>
      <c r="I13" s="23">
        <f t="shared" si="0"/>
        <v>84.53</v>
      </c>
      <c r="J13" s="8"/>
      <c r="K13" s="24">
        <f t="shared" si="1"/>
        <v>0</v>
      </c>
      <c r="L13" s="24">
        <f t="shared" si="2"/>
        <v>0</v>
      </c>
      <c r="M13" s="23">
        <f t="shared" si="3"/>
        <v>0</v>
      </c>
      <c r="N13" s="25">
        <f t="shared" si="4"/>
        <v>0</v>
      </c>
    </row>
    <row r="14" spans="1:14">
      <c r="A14" s="11"/>
      <c r="B14" s="15" t="s">
        <v>132</v>
      </c>
      <c r="C14" s="8" t="s">
        <v>99</v>
      </c>
      <c r="D14" s="12" t="s">
        <v>126</v>
      </c>
      <c r="E14" s="13" t="s">
        <v>127</v>
      </c>
      <c r="F14" s="7">
        <v>6.31</v>
      </c>
      <c r="G14" s="12">
        <v>83</v>
      </c>
      <c r="H14" s="14">
        <v>0.07</v>
      </c>
      <c r="I14" s="23">
        <f t="shared" si="0"/>
        <v>88.81</v>
      </c>
      <c r="J14" s="8"/>
      <c r="K14" s="24">
        <f t="shared" si="1"/>
        <v>0</v>
      </c>
      <c r="L14" s="24">
        <f t="shared" si="2"/>
        <v>0</v>
      </c>
      <c r="M14" s="23">
        <f t="shared" si="3"/>
        <v>0</v>
      </c>
      <c r="N14" s="25">
        <f t="shared" si="4"/>
        <v>0</v>
      </c>
    </row>
    <row r="15" spans="1:14">
      <c r="A15" s="11"/>
      <c r="B15" s="15" t="s">
        <v>133</v>
      </c>
      <c r="C15" s="8" t="s">
        <v>99</v>
      </c>
      <c r="D15" s="12" t="s">
        <v>126</v>
      </c>
      <c r="E15" s="13" t="s">
        <v>127</v>
      </c>
      <c r="F15" s="7">
        <v>5.9</v>
      </c>
      <c r="G15" s="12">
        <v>67</v>
      </c>
      <c r="H15" s="14">
        <v>0.07</v>
      </c>
      <c r="I15" s="23">
        <f t="shared" si="0"/>
        <v>71.69</v>
      </c>
      <c r="J15" s="8"/>
      <c r="K15" s="24">
        <f t="shared" si="1"/>
        <v>0</v>
      </c>
      <c r="L15" s="24">
        <f t="shared" si="2"/>
        <v>0</v>
      </c>
      <c r="M15" s="23">
        <f t="shared" si="3"/>
        <v>0</v>
      </c>
      <c r="N15" s="25">
        <f t="shared" si="4"/>
        <v>0</v>
      </c>
    </row>
    <row r="16" spans="1:14">
      <c r="A16" s="11"/>
      <c r="B16" s="15" t="s">
        <v>134</v>
      </c>
      <c r="C16" s="8" t="s">
        <v>99</v>
      </c>
      <c r="D16" s="12" t="s">
        <v>126</v>
      </c>
      <c r="E16" s="13" t="s">
        <v>127</v>
      </c>
      <c r="F16" s="7">
        <v>6.37</v>
      </c>
      <c r="G16" s="12">
        <v>81</v>
      </c>
      <c r="H16" s="14">
        <v>0.07</v>
      </c>
      <c r="I16" s="23">
        <f t="shared" si="0"/>
        <v>86.67</v>
      </c>
      <c r="J16" s="8"/>
      <c r="K16" s="24">
        <f t="shared" si="1"/>
        <v>0</v>
      </c>
      <c r="L16" s="24">
        <f t="shared" si="2"/>
        <v>0</v>
      </c>
      <c r="M16" s="23">
        <f t="shared" si="3"/>
        <v>0</v>
      </c>
      <c r="N16" s="25">
        <f t="shared" si="4"/>
        <v>0</v>
      </c>
    </row>
    <row r="17" spans="1:14">
      <c r="A17" s="11"/>
      <c r="B17" s="15" t="s">
        <v>135</v>
      </c>
      <c r="C17" s="8" t="s">
        <v>99</v>
      </c>
      <c r="D17" s="12" t="s">
        <v>136</v>
      </c>
      <c r="E17" s="13" t="s">
        <v>129</v>
      </c>
      <c r="F17" s="7">
        <v>5.8</v>
      </c>
      <c r="G17" s="12">
        <v>68</v>
      </c>
      <c r="H17" s="14">
        <v>0.07</v>
      </c>
      <c r="I17" s="23">
        <f t="shared" si="0"/>
        <v>72.76</v>
      </c>
      <c r="J17" s="8"/>
      <c r="K17" s="24">
        <f t="shared" si="1"/>
        <v>0</v>
      </c>
      <c r="L17" s="24">
        <f t="shared" si="2"/>
        <v>0</v>
      </c>
      <c r="M17" s="23">
        <f t="shared" si="3"/>
        <v>0</v>
      </c>
      <c r="N17" s="25">
        <f t="shared" si="4"/>
        <v>0</v>
      </c>
    </row>
    <row r="18" spans="1:14">
      <c r="A18" s="11"/>
      <c r="B18" s="11" t="s">
        <v>137</v>
      </c>
      <c r="C18" s="8" t="s">
        <v>99</v>
      </c>
      <c r="D18" s="12" t="s">
        <v>136</v>
      </c>
      <c r="E18" s="13" t="s">
        <v>129</v>
      </c>
      <c r="F18" s="7">
        <v>6.4</v>
      </c>
      <c r="G18" s="12">
        <v>69</v>
      </c>
      <c r="H18" s="14">
        <v>0.07</v>
      </c>
      <c r="I18" s="23">
        <f t="shared" si="0"/>
        <v>73.83</v>
      </c>
      <c r="J18" s="8"/>
      <c r="K18" s="24">
        <f t="shared" si="1"/>
        <v>0</v>
      </c>
      <c r="L18" s="24">
        <f t="shared" si="2"/>
        <v>0</v>
      </c>
      <c r="M18" s="23">
        <f t="shared" si="3"/>
        <v>0</v>
      </c>
      <c r="N18" s="25">
        <f t="shared" si="4"/>
        <v>0</v>
      </c>
    </row>
    <row r="19" spans="1:14">
      <c r="A19" s="11"/>
      <c r="B19" s="11" t="s">
        <v>138</v>
      </c>
      <c r="C19" s="8" t="s">
        <v>99</v>
      </c>
      <c r="D19" s="12" t="s">
        <v>136</v>
      </c>
      <c r="E19" s="13" t="s">
        <v>127</v>
      </c>
      <c r="F19" s="7">
        <v>5.73</v>
      </c>
      <c r="G19" s="12">
        <v>75</v>
      </c>
      <c r="H19" s="14">
        <v>0.07</v>
      </c>
      <c r="I19" s="23">
        <f t="shared" si="0"/>
        <v>80.25</v>
      </c>
      <c r="J19" s="8"/>
      <c r="K19" s="24">
        <f t="shared" si="1"/>
        <v>0</v>
      </c>
      <c r="L19" s="24">
        <f t="shared" si="2"/>
        <v>0</v>
      </c>
      <c r="M19" s="23">
        <f t="shared" si="3"/>
        <v>0</v>
      </c>
      <c r="N19" s="25">
        <f t="shared" si="4"/>
        <v>0</v>
      </c>
    </row>
    <row r="20" spans="1:14">
      <c r="A20" s="11"/>
      <c r="B20" s="15" t="s">
        <v>139</v>
      </c>
      <c r="C20" s="8" t="s">
        <v>99</v>
      </c>
      <c r="D20" s="12" t="s">
        <v>136</v>
      </c>
      <c r="E20" s="13" t="s">
        <v>127</v>
      </c>
      <c r="F20" s="7">
        <v>5.9</v>
      </c>
      <c r="G20" s="12">
        <v>76</v>
      </c>
      <c r="H20" s="14">
        <v>0.07</v>
      </c>
      <c r="I20" s="23">
        <f t="shared" si="0"/>
        <v>81.32</v>
      </c>
      <c r="J20" s="8"/>
      <c r="K20" s="24">
        <f t="shared" si="1"/>
        <v>0</v>
      </c>
      <c r="L20" s="24">
        <f t="shared" si="2"/>
        <v>0</v>
      </c>
      <c r="M20" s="23">
        <f t="shared" si="3"/>
        <v>0</v>
      </c>
      <c r="N20" s="25">
        <f t="shared" si="4"/>
        <v>0</v>
      </c>
    </row>
    <row r="21" spans="1:14">
      <c r="A21" s="11"/>
      <c r="B21" s="11" t="s">
        <v>140</v>
      </c>
      <c r="C21" s="8" t="s">
        <v>99</v>
      </c>
      <c r="D21" s="12" t="s">
        <v>136</v>
      </c>
      <c r="E21" s="13" t="s">
        <v>127</v>
      </c>
      <c r="F21" s="7">
        <v>7.05</v>
      </c>
      <c r="G21" s="12">
        <v>90</v>
      </c>
      <c r="H21" s="14">
        <v>0.07</v>
      </c>
      <c r="I21" s="23">
        <f t="shared" si="0"/>
        <v>96.3</v>
      </c>
      <c r="J21" s="8"/>
      <c r="K21" s="24">
        <f t="shared" si="1"/>
        <v>0</v>
      </c>
      <c r="L21" s="24">
        <f t="shared" si="2"/>
        <v>0</v>
      </c>
      <c r="M21" s="23">
        <f t="shared" si="3"/>
        <v>0</v>
      </c>
      <c r="N21" s="25">
        <f t="shared" si="4"/>
        <v>0</v>
      </c>
    </row>
    <row r="22" spans="1:14">
      <c r="A22" s="11"/>
      <c r="B22" s="11" t="s">
        <v>141</v>
      </c>
      <c r="C22" s="8" t="s">
        <v>99</v>
      </c>
      <c r="D22" s="12" t="s">
        <v>136</v>
      </c>
      <c r="E22" s="13" t="s">
        <v>127</v>
      </c>
      <c r="F22" s="7"/>
      <c r="G22" s="12"/>
      <c r="H22" s="14"/>
      <c r="I22" s="23"/>
      <c r="J22" s="8"/>
      <c r="K22" s="24">
        <f t="shared" si="1"/>
        <v>0</v>
      </c>
      <c r="L22" s="24">
        <f t="shared" si="2"/>
        <v>0</v>
      </c>
      <c r="M22" s="23">
        <f t="shared" si="3"/>
        <v>0</v>
      </c>
      <c r="N22" s="25">
        <f t="shared" si="4"/>
        <v>0</v>
      </c>
    </row>
    <row r="23" spans="1:14">
      <c r="A23" s="11"/>
      <c r="B23" s="11" t="s">
        <v>142</v>
      </c>
      <c r="C23" s="8" t="s">
        <v>99</v>
      </c>
      <c r="D23" s="12" t="s">
        <v>143</v>
      </c>
      <c r="E23" s="13" t="s">
        <v>129</v>
      </c>
      <c r="F23" s="7">
        <v>3.96</v>
      </c>
      <c r="G23" s="12">
        <v>59</v>
      </c>
      <c r="H23" s="14">
        <v>0.07</v>
      </c>
      <c r="I23" s="23">
        <f t="shared" ref="I23:I29" si="5">G23*(1+H23)</f>
        <v>63.13</v>
      </c>
      <c r="J23" s="8"/>
      <c r="K23" s="24">
        <f t="shared" si="1"/>
        <v>0</v>
      </c>
      <c r="L23" s="24">
        <f t="shared" si="2"/>
        <v>0</v>
      </c>
      <c r="M23" s="23">
        <f t="shared" si="3"/>
        <v>0</v>
      </c>
      <c r="N23" s="25">
        <f t="shared" si="4"/>
        <v>0</v>
      </c>
    </row>
    <row r="24" spans="1:14">
      <c r="A24" s="11"/>
      <c r="B24" s="11" t="s">
        <v>144</v>
      </c>
      <c r="C24" s="8" t="s">
        <v>99</v>
      </c>
      <c r="D24" s="12" t="s">
        <v>136</v>
      </c>
      <c r="E24" s="13" t="s">
        <v>127</v>
      </c>
      <c r="F24" s="7">
        <v>6.46</v>
      </c>
      <c r="G24" s="12">
        <v>83</v>
      </c>
      <c r="H24" s="14">
        <v>0.07</v>
      </c>
      <c r="I24" s="23">
        <f t="shared" si="5"/>
        <v>88.81</v>
      </c>
      <c r="J24" s="8"/>
      <c r="K24" s="24">
        <f t="shared" si="1"/>
        <v>0</v>
      </c>
      <c r="L24" s="24">
        <f t="shared" si="2"/>
        <v>0</v>
      </c>
      <c r="M24" s="23">
        <f t="shared" si="3"/>
        <v>0</v>
      </c>
      <c r="N24" s="25">
        <f t="shared" si="4"/>
        <v>0</v>
      </c>
    </row>
    <row r="25" spans="1:14">
      <c r="A25" s="11"/>
      <c r="B25" s="15" t="s">
        <v>145</v>
      </c>
      <c r="C25" s="8" t="s">
        <v>99</v>
      </c>
      <c r="D25" s="12" t="s">
        <v>136</v>
      </c>
      <c r="E25" s="13" t="s">
        <v>127</v>
      </c>
      <c r="F25" s="7">
        <v>6.11</v>
      </c>
      <c r="G25" s="12">
        <v>78</v>
      </c>
      <c r="H25" s="14">
        <v>0.07</v>
      </c>
      <c r="I25" s="23">
        <f t="shared" si="5"/>
        <v>83.46</v>
      </c>
      <c r="J25" s="8"/>
      <c r="K25" s="24">
        <f t="shared" si="1"/>
        <v>0</v>
      </c>
      <c r="L25" s="24">
        <f t="shared" si="2"/>
        <v>0</v>
      </c>
      <c r="M25" s="23">
        <f t="shared" si="3"/>
        <v>0</v>
      </c>
      <c r="N25" s="25">
        <f t="shared" si="4"/>
        <v>0</v>
      </c>
    </row>
    <row r="26" spans="1:14">
      <c r="A26" s="11"/>
      <c r="B26" s="11" t="s">
        <v>146</v>
      </c>
      <c r="C26" s="8" t="s">
        <v>99</v>
      </c>
      <c r="D26" s="12" t="s">
        <v>136</v>
      </c>
      <c r="E26" s="13" t="s">
        <v>127</v>
      </c>
      <c r="F26" s="7">
        <v>6.68</v>
      </c>
      <c r="G26" s="12">
        <v>85</v>
      </c>
      <c r="H26" s="14">
        <v>0.07</v>
      </c>
      <c r="I26" s="23">
        <f t="shared" si="5"/>
        <v>90.95</v>
      </c>
      <c r="J26" s="8"/>
      <c r="K26" s="24">
        <f t="shared" si="1"/>
        <v>0</v>
      </c>
      <c r="L26" s="24">
        <f t="shared" si="2"/>
        <v>0</v>
      </c>
      <c r="M26" s="23">
        <f t="shared" si="3"/>
        <v>0</v>
      </c>
      <c r="N26" s="25">
        <f t="shared" si="4"/>
        <v>0</v>
      </c>
    </row>
    <row r="27" spans="1:14">
      <c r="A27" s="11"/>
      <c r="B27" s="11" t="s">
        <v>147</v>
      </c>
      <c r="C27" s="8" t="s">
        <v>99</v>
      </c>
      <c r="D27" s="12" t="s">
        <v>126</v>
      </c>
      <c r="E27" s="13" t="s">
        <v>127</v>
      </c>
      <c r="F27" s="7">
        <v>5.34</v>
      </c>
      <c r="G27" s="12">
        <v>78</v>
      </c>
      <c r="H27" s="14">
        <v>0.07</v>
      </c>
      <c r="I27" s="23">
        <f t="shared" si="5"/>
        <v>83.46</v>
      </c>
      <c r="J27" s="8"/>
      <c r="K27" s="24">
        <f t="shared" si="1"/>
        <v>0</v>
      </c>
      <c r="L27" s="24">
        <f t="shared" si="2"/>
        <v>0</v>
      </c>
      <c r="M27" s="23">
        <f t="shared" si="3"/>
        <v>0</v>
      </c>
      <c r="N27" s="25">
        <f t="shared" si="4"/>
        <v>0</v>
      </c>
    </row>
    <row r="28" spans="1:14">
      <c r="A28" s="11" t="s">
        <v>148</v>
      </c>
      <c r="B28" s="11" t="s">
        <v>149</v>
      </c>
      <c r="C28" s="8" t="s">
        <v>100</v>
      </c>
      <c r="D28" s="12" t="s">
        <v>136</v>
      </c>
      <c r="E28" s="13" t="s">
        <v>127</v>
      </c>
      <c r="F28" s="7">
        <v>5.5</v>
      </c>
      <c r="G28" s="12">
        <v>77</v>
      </c>
      <c r="H28" s="14">
        <v>0.11</v>
      </c>
      <c r="I28" s="23">
        <f t="shared" si="5"/>
        <v>85.47</v>
      </c>
      <c r="J28" s="8"/>
      <c r="K28" s="24">
        <f t="shared" si="1"/>
        <v>0</v>
      </c>
      <c r="L28" s="24">
        <f t="shared" si="2"/>
        <v>0</v>
      </c>
      <c r="M28" s="23">
        <f t="shared" si="3"/>
        <v>0</v>
      </c>
      <c r="N28" s="25">
        <f t="shared" si="4"/>
        <v>0</v>
      </c>
    </row>
    <row r="29" spans="1:14">
      <c r="A29" s="11" t="s">
        <v>148</v>
      </c>
      <c r="B29" s="11" t="s">
        <v>150</v>
      </c>
      <c r="C29" s="8" t="s">
        <v>100</v>
      </c>
      <c r="D29" s="12" t="s">
        <v>136</v>
      </c>
      <c r="E29" s="13" t="s">
        <v>127</v>
      </c>
      <c r="F29" s="7">
        <v>7</v>
      </c>
      <c r="G29" s="12">
        <v>81</v>
      </c>
      <c r="H29" s="14">
        <v>0.11</v>
      </c>
      <c r="I29" s="23">
        <f t="shared" si="5"/>
        <v>89.91</v>
      </c>
      <c r="J29" s="8"/>
      <c r="K29" s="24">
        <f t="shared" si="1"/>
        <v>0</v>
      </c>
      <c r="L29" s="24">
        <f t="shared" si="2"/>
        <v>0</v>
      </c>
      <c r="M29" s="23">
        <f t="shared" si="3"/>
        <v>0</v>
      </c>
      <c r="N29" s="25">
        <f t="shared" si="4"/>
        <v>0</v>
      </c>
    </row>
    <row r="30" ht="14.25" customHeight="1" spans="1:14">
      <c r="A30" s="11" t="s">
        <v>148</v>
      </c>
      <c r="B30" s="16" t="s">
        <v>151</v>
      </c>
      <c r="C30" s="8" t="s">
        <v>100</v>
      </c>
      <c r="D30" s="12" t="s">
        <v>126</v>
      </c>
      <c r="E30" s="13" t="s">
        <v>127</v>
      </c>
      <c r="F30" s="7">
        <v>7</v>
      </c>
      <c r="G30" s="12"/>
      <c r="H30" s="14">
        <v>0.11</v>
      </c>
      <c r="I30" s="23">
        <v>89.91</v>
      </c>
      <c r="J30" s="8"/>
      <c r="K30" s="24">
        <f t="shared" si="1"/>
        <v>0</v>
      </c>
      <c r="L30" s="24">
        <f t="shared" si="2"/>
        <v>0</v>
      </c>
      <c r="M30" s="23">
        <f t="shared" si="3"/>
        <v>0</v>
      </c>
      <c r="N30" s="25">
        <f t="shared" si="4"/>
        <v>0</v>
      </c>
    </row>
    <row r="31" spans="1:14">
      <c r="A31" s="11"/>
      <c r="B31" s="11" t="s">
        <v>152</v>
      </c>
      <c r="C31" s="8" t="s">
        <v>91</v>
      </c>
      <c r="D31" s="12" t="s">
        <v>136</v>
      </c>
      <c r="E31" s="13" t="s">
        <v>129</v>
      </c>
      <c r="F31" s="7">
        <v>4</v>
      </c>
      <c r="G31" s="12">
        <v>55</v>
      </c>
      <c r="H31" s="14">
        <v>0.08</v>
      </c>
      <c r="I31" s="23">
        <f t="shared" ref="I31:I43" si="6">G31*(1+H31)</f>
        <v>59.4</v>
      </c>
      <c r="J31" s="8"/>
      <c r="K31" s="24">
        <f t="shared" si="1"/>
        <v>0</v>
      </c>
      <c r="L31" s="24">
        <f t="shared" si="2"/>
        <v>0</v>
      </c>
      <c r="M31" s="23">
        <f t="shared" si="3"/>
        <v>0</v>
      </c>
      <c r="N31" s="25">
        <f t="shared" si="4"/>
        <v>0</v>
      </c>
    </row>
    <row r="32" spans="1:14">
      <c r="A32" s="11"/>
      <c r="B32" s="15" t="s">
        <v>153</v>
      </c>
      <c r="C32" s="8" t="s">
        <v>91</v>
      </c>
      <c r="D32" s="12" t="s">
        <v>136</v>
      </c>
      <c r="E32" s="13" t="s">
        <v>124</v>
      </c>
      <c r="F32" s="7">
        <v>7</v>
      </c>
      <c r="G32" s="12">
        <v>70</v>
      </c>
      <c r="H32" s="14">
        <v>0.08</v>
      </c>
      <c r="I32" s="23">
        <f t="shared" si="6"/>
        <v>75.6</v>
      </c>
      <c r="J32" s="8"/>
      <c r="K32" s="24">
        <f t="shared" si="1"/>
        <v>0</v>
      </c>
      <c r="L32" s="24">
        <f t="shared" si="2"/>
        <v>0</v>
      </c>
      <c r="M32" s="23">
        <f t="shared" si="3"/>
        <v>0</v>
      </c>
      <c r="N32" s="25">
        <f t="shared" si="4"/>
        <v>0</v>
      </c>
    </row>
    <row r="33" spans="1:14">
      <c r="A33" s="11"/>
      <c r="B33" s="15" t="s">
        <v>154</v>
      </c>
      <c r="C33" s="8" t="s">
        <v>91</v>
      </c>
      <c r="D33" s="12" t="s">
        <v>126</v>
      </c>
      <c r="E33" s="13" t="s">
        <v>127</v>
      </c>
      <c r="F33" s="7">
        <v>6</v>
      </c>
      <c r="G33" s="12">
        <v>66</v>
      </c>
      <c r="H33" s="14">
        <v>0.08</v>
      </c>
      <c r="I33" s="23">
        <f t="shared" si="6"/>
        <v>71.28</v>
      </c>
      <c r="J33" s="8"/>
      <c r="K33" s="24">
        <f t="shared" si="1"/>
        <v>0</v>
      </c>
      <c r="L33" s="24">
        <f t="shared" si="2"/>
        <v>0</v>
      </c>
      <c r="M33" s="23">
        <f t="shared" si="3"/>
        <v>0</v>
      </c>
      <c r="N33" s="25">
        <f t="shared" si="4"/>
        <v>0</v>
      </c>
    </row>
    <row r="34" spans="1:14">
      <c r="A34" s="11"/>
      <c r="B34" s="11" t="s">
        <v>155</v>
      </c>
      <c r="C34" s="8" t="s">
        <v>91</v>
      </c>
      <c r="D34" s="12" t="s">
        <v>126</v>
      </c>
      <c r="E34" s="13" t="s">
        <v>127</v>
      </c>
      <c r="F34" s="7">
        <v>6</v>
      </c>
      <c r="G34" s="12">
        <v>68</v>
      </c>
      <c r="H34" s="14">
        <v>0.08</v>
      </c>
      <c r="I34" s="23">
        <f t="shared" si="6"/>
        <v>73.44</v>
      </c>
      <c r="J34" s="8"/>
      <c r="K34" s="24">
        <f t="shared" si="1"/>
        <v>0</v>
      </c>
      <c r="L34" s="24">
        <f t="shared" si="2"/>
        <v>0</v>
      </c>
      <c r="M34" s="23">
        <f t="shared" si="3"/>
        <v>0</v>
      </c>
      <c r="N34" s="25">
        <f t="shared" si="4"/>
        <v>0</v>
      </c>
    </row>
    <row r="35" spans="1:14">
      <c r="A35" s="11"/>
      <c r="B35" s="15" t="s">
        <v>156</v>
      </c>
      <c r="C35" s="8" t="s">
        <v>91</v>
      </c>
      <c r="D35" s="12" t="s">
        <v>126</v>
      </c>
      <c r="E35" s="13" t="s">
        <v>124</v>
      </c>
      <c r="F35" s="7">
        <v>8</v>
      </c>
      <c r="G35" s="12">
        <v>108</v>
      </c>
      <c r="H35" s="14">
        <v>0.08</v>
      </c>
      <c r="I35" s="23">
        <f t="shared" si="6"/>
        <v>116.64</v>
      </c>
      <c r="J35" s="8"/>
      <c r="K35" s="24">
        <f t="shared" si="1"/>
        <v>0</v>
      </c>
      <c r="L35" s="24">
        <f t="shared" si="2"/>
        <v>0</v>
      </c>
      <c r="M35" s="23">
        <f t="shared" si="3"/>
        <v>0</v>
      </c>
      <c r="N35" s="25">
        <f t="shared" si="4"/>
        <v>0</v>
      </c>
    </row>
    <row r="36" spans="1:14">
      <c r="A36" s="11"/>
      <c r="B36" s="11" t="s">
        <v>157</v>
      </c>
      <c r="C36" s="8" t="s">
        <v>91</v>
      </c>
      <c r="D36" s="12" t="s">
        <v>126</v>
      </c>
      <c r="E36" s="13" t="s">
        <v>124</v>
      </c>
      <c r="F36" s="7">
        <v>8</v>
      </c>
      <c r="G36" s="12">
        <v>117</v>
      </c>
      <c r="H36" s="14">
        <v>0.08</v>
      </c>
      <c r="I36" s="23">
        <f t="shared" si="6"/>
        <v>126.36</v>
      </c>
      <c r="J36" s="8"/>
      <c r="K36" s="24">
        <f t="shared" si="1"/>
        <v>0</v>
      </c>
      <c r="L36" s="24">
        <f t="shared" si="2"/>
        <v>0</v>
      </c>
      <c r="M36" s="23">
        <f t="shared" si="3"/>
        <v>0</v>
      </c>
      <c r="N36" s="25">
        <f t="shared" si="4"/>
        <v>0</v>
      </c>
    </row>
    <row r="37" spans="1:14">
      <c r="A37" s="11"/>
      <c r="B37" s="15" t="s">
        <v>158</v>
      </c>
      <c r="C37" s="8" t="s">
        <v>91</v>
      </c>
      <c r="D37" s="12" t="s">
        <v>123</v>
      </c>
      <c r="E37" s="13" t="s">
        <v>124</v>
      </c>
      <c r="F37" s="7">
        <v>3.7</v>
      </c>
      <c r="G37" s="12">
        <v>52</v>
      </c>
      <c r="H37" s="14">
        <v>0.08</v>
      </c>
      <c r="I37" s="23">
        <f t="shared" si="6"/>
        <v>56.16</v>
      </c>
      <c r="J37" s="8"/>
      <c r="K37" s="24">
        <f t="shared" si="1"/>
        <v>0</v>
      </c>
      <c r="L37" s="24">
        <f t="shared" si="2"/>
        <v>0</v>
      </c>
      <c r="M37" s="23">
        <f t="shared" si="3"/>
        <v>0</v>
      </c>
      <c r="N37" s="25">
        <f t="shared" si="4"/>
        <v>0</v>
      </c>
    </row>
    <row r="38" spans="1:14">
      <c r="A38" s="11"/>
      <c r="B38" s="11" t="s">
        <v>159</v>
      </c>
      <c r="C38" s="8" t="s">
        <v>91</v>
      </c>
      <c r="D38" s="12" t="s">
        <v>136</v>
      </c>
      <c r="E38" s="13" t="s">
        <v>127</v>
      </c>
      <c r="F38" s="7">
        <v>7</v>
      </c>
      <c r="G38" s="12">
        <v>69</v>
      </c>
      <c r="H38" s="14">
        <v>0.08</v>
      </c>
      <c r="I38" s="23">
        <f t="shared" si="6"/>
        <v>74.52</v>
      </c>
      <c r="J38" s="8"/>
      <c r="K38" s="24">
        <f t="shared" si="1"/>
        <v>0</v>
      </c>
      <c r="L38" s="24">
        <f t="shared" si="2"/>
        <v>0</v>
      </c>
      <c r="M38" s="23">
        <f t="shared" si="3"/>
        <v>0</v>
      </c>
      <c r="N38" s="25">
        <f t="shared" si="4"/>
        <v>0</v>
      </c>
    </row>
    <row r="39" spans="1:14">
      <c r="A39" s="11"/>
      <c r="B39" s="11" t="s">
        <v>160</v>
      </c>
      <c r="C39" s="8" t="s">
        <v>91</v>
      </c>
      <c r="D39" s="12" t="s">
        <v>136</v>
      </c>
      <c r="E39" s="13" t="s">
        <v>127</v>
      </c>
      <c r="F39" s="7">
        <v>7</v>
      </c>
      <c r="G39" s="12">
        <v>69</v>
      </c>
      <c r="H39" s="14">
        <v>0.08</v>
      </c>
      <c r="I39" s="23">
        <f t="shared" si="6"/>
        <v>74.52</v>
      </c>
      <c r="J39" s="8"/>
      <c r="K39" s="24">
        <f t="shared" si="1"/>
        <v>0</v>
      </c>
      <c r="L39" s="24">
        <f t="shared" si="2"/>
        <v>0</v>
      </c>
      <c r="M39" s="23">
        <f t="shared" si="3"/>
        <v>0</v>
      </c>
      <c r="N39" s="25">
        <f t="shared" si="4"/>
        <v>0</v>
      </c>
    </row>
    <row r="40" spans="1:14">
      <c r="A40" s="11"/>
      <c r="B40" s="11" t="s">
        <v>161</v>
      </c>
      <c r="C40" s="8" t="s">
        <v>100</v>
      </c>
      <c r="D40" s="12" t="s">
        <v>136</v>
      </c>
      <c r="E40" s="13" t="s">
        <v>129</v>
      </c>
      <c r="F40" s="7">
        <v>4.9</v>
      </c>
      <c r="G40" s="12">
        <v>68</v>
      </c>
      <c r="H40" s="14">
        <v>0.11</v>
      </c>
      <c r="I40" s="23">
        <f t="shared" si="6"/>
        <v>75.48</v>
      </c>
      <c r="J40" s="8"/>
      <c r="K40" s="24">
        <f t="shared" si="1"/>
        <v>0</v>
      </c>
      <c r="L40" s="24">
        <f t="shared" si="2"/>
        <v>0</v>
      </c>
      <c r="M40" s="23">
        <f t="shared" si="3"/>
        <v>0</v>
      </c>
      <c r="N40" s="25">
        <f t="shared" si="4"/>
        <v>0</v>
      </c>
    </row>
    <row r="41" spans="1:14">
      <c r="A41" s="11"/>
      <c r="B41" s="11" t="s">
        <v>162</v>
      </c>
      <c r="C41" s="8" t="s">
        <v>100</v>
      </c>
      <c r="D41" s="12" t="s">
        <v>136</v>
      </c>
      <c r="E41" s="13" t="s">
        <v>129</v>
      </c>
      <c r="F41" s="7">
        <v>5.5</v>
      </c>
      <c r="G41" s="12">
        <v>76</v>
      </c>
      <c r="H41" s="14">
        <v>0.11</v>
      </c>
      <c r="I41" s="23">
        <f t="shared" si="6"/>
        <v>84.36</v>
      </c>
      <c r="J41" s="8"/>
      <c r="K41" s="24">
        <f t="shared" si="1"/>
        <v>0</v>
      </c>
      <c r="L41" s="24">
        <f t="shared" si="2"/>
        <v>0</v>
      </c>
      <c r="M41" s="23">
        <f t="shared" si="3"/>
        <v>0</v>
      </c>
      <c r="N41" s="25">
        <f t="shared" si="4"/>
        <v>0</v>
      </c>
    </row>
    <row r="42" spans="1:14">
      <c r="A42" s="11"/>
      <c r="B42" s="11" t="s">
        <v>163</v>
      </c>
      <c r="C42" s="8" t="s">
        <v>100</v>
      </c>
      <c r="D42" s="12" t="s">
        <v>136</v>
      </c>
      <c r="E42" s="13" t="s">
        <v>129</v>
      </c>
      <c r="F42" s="7">
        <v>6</v>
      </c>
      <c r="G42" s="12">
        <v>79</v>
      </c>
      <c r="H42" s="14">
        <v>0.11</v>
      </c>
      <c r="I42" s="23">
        <f t="shared" si="6"/>
        <v>87.69</v>
      </c>
      <c r="J42" s="8"/>
      <c r="K42" s="24">
        <f t="shared" si="1"/>
        <v>0</v>
      </c>
      <c r="L42" s="24">
        <f t="shared" si="2"/>
        <v>0</v>
      </c>
      <c r="M42" s="23">
        <f t="shared" si="3"/>
        <v>0</v>
      </c>
      <c r="N42" s="25">
        <f t="shared" si="4"/>
        <v>0</v>
      </c>
    </row>
    <row r="43" spans="1:14">
      <c r="A43" s="11"/>
      <c r="B43" s="11" t="s">
        <v>164</v>
      </c>
      <c r="C43" s="8" t="s">
        <v>100</v>
      </c>
      <c r="D43" s="12" t="s">
        <v>136</v>
      </c>
      <c r="E43" s="13" t="s">
        <v>129</v>
      </c>
      <c r="F43" s="7">
        <v>7</v>
      </c>
      <c r="G43" s="12">
        <v>86</v>
      </c>
      <c r="H43" s="14">
        <v>0.11</v>
      </c>
      <c r="I43" s="23">
        <f t="shared" si="6"/>
        <v>95.46</v>
      </c>
      <c r="J43" s="8"/>
      <c r="K43" s="24">
        <f t="shared" si="1"/>
        <v>0</v>
      </c>
      <c r="L43" s="24">
        <f t="shared" si="2"/>
        <v>0</v>
      </c>
      <c r="M43" s="23">
        <f t="shared" si="3"/>
        <v>0</v>
      </c>
      <c r="N43" s="25">
        <f t="shared" si="4"/>
        <v>0</v>
      </c>
    </row>
    <row r="44" spans="1:14">
      <c r="A44" s="11"/>
      <c r="B44" s="15" t="s">
        <v>165</v>
      </c>
      <c r="C44" s="8" t="s">
        <v>97</v>
      </c>
      <c r="D44" s="12" t="s">
        <v>136</v>
      </c>
      <c r="E44" s="13" t="s">
        <v>166</v>
      </c>
      <c r="F44" s="7">
        <v>11.8</v>
      </c>
      <c r="G44" s="12">
        <f t="shared" ref="G44:G50" si="7">I44/(1+H44)</f>
        <v>119.811320754717</v>
      </c>
      <c r="H44" s="14">
        <v>0.06</v>
      </c>
      <c r="I44" s="23">
        <v>127</v>
      </c>
      <c r="J44" s="8"/>
      <c r="K44" s="24">
        <f t="shared" si="1"/>
        <v>0</v>
      </c>
      <c r="L44" s="24">
        <f t="shared" si="2"/>
        <v>0</v>
      </c>
      <c r="M44" s="23">
        <f t="shared" si="3"/>
        <v>0</v>
      </c>
      <c r="N44" s="25">
        <f t="shared" si="4"/>
        <v>0</v>
      </c>
    </row>
    <row r="45" spans="1:14">
      <c r="A45" s="11"/>
      <c r="B45" s="11" t="s">
        <v>167</v>
      </c>
      <c r="C45" s="8" t="s">
        <v>97</v>
      </c>
      <c r="D45" s="12" t="s">
        <v>136</v>
      </c>
      <c r="E45" s="13" t="s">
        <v>129</v>
      </c>
      <c r="F45" s="7">
        <v>10.5</v>
      </c>
      <c r="G45" s="12">
        <f t="shared" si="7"/>
        <v>113.207547169811</v>
      </c>
      <c r="H45" s="14">
        <v>0.06</v>
      </c>
      <c r="I45" s="23">
        <v>120</v>
      </c>
      <c r="J45" s="8"/>
      <c r="K45" s="24">
        <f t="shared" si="1"/>
        <v>0</v>
      </c>
      <c r="L45" s="24">
        <f t="shared" si="2"/>
        <v>0</v>
      </c>
      <c r="M45" s="23">
        <f t="shared" si="3"/>
        <v>0</v>
      </c>
      <c r="N45" s="25">
        <f t="shared" si="4"/>
        <v>0</v>
      </c>
    </row>
    <row r="46" spans="1:14">
      <c r="A46" s="11"/>
      <c r="B46" s="11" t="s">
        <v>168</v>
      </c>
      <c r="C46" s="8" t="s">
        <v>97</v>
      </c>
      <c r="D46" s="12" t="s">
        <v>136</v>
      </c>
      <c r="E46" s="13" t="s">
        <v>129</v>
      </c>
      <c r="F46" s="7">
        <v>13</v>
      </c>
      <c r="G46" s="12"/>
      <c r="H46" s="14">
        <v>0.06</v>
      </c>
      <c r="I46" s="23">
        <v>162</v>
      </c>
      <c r="J46" s="8"/>
      <c r="K46" s="24">
        <f t="shared" si="1"/>
        <v>0</v>
      </c>
      <c r="L46" s="24">
        <f t="shared" si="2"/>
        <v>0</v>
      </c>
      <c r="M46" s="23">
        <f t="shared" si="3"/>
        <v>0</v>
      </c>
      <c r="N46" s="25">
        <f t="shared" si="4"/>
        <v>0</v>
      </c>
    </row>
    <row r="47" spans="1:14">
      <c r="A47" s="11"/>
      <c r="B47" s="11" t="s">
        <v>169</v>
      </c>
      <c r="C47" s="8" t="s">
        <v>97</v>
      </c>
      <c r="D47" s="12" t="s">
        <v>126</v>
      </c>
      <c r="E47" s="13" t="s">
        <v>129</v>
      </c>
      <c r="F47" s="7"/>
      <c r="G47" s="12">
        <f t="shared" si="7"/>
        <v>101.88679245283</v>
      </c>
      <c r="H47" s="14">
        <v>0.06</v>
      </c>
      <c r="I47" s="23">
        <v>108</v>
      </c>
      <c r="J47" s="8"/>
      <c r="K47" s="24">
        <f t="shared" si="1"/>
        <v>0</v>
      </c>
      <c r="L47" s="24">
        <f t="shared" si="2"/>
        <v>0</v>
      </c>
      <c r="M47" s="23">
        <f t="shared" si="3"/>
        <v>0</v>
      </c>
      <c r="N47" s="25">
        <f t="shared" si="4"/>
        <v>0</v>
      </c>
    </row>
    <row r="48" ht="14.25" spans="1:14">
      <c r="A48" s="11"/>
      <c r="B48" s="17" t="s">
        <v>170</v>
      </c>
      <c r="C48" s="8" t="s">
        <v>97</v>
      </c>
      <c r="D48" s="12" t="s">
        <v>126</v>
      </c>
      <c r="E48" s="13"/>
      <c r="F48" s="7">
        <v>10.5</v>
      </c>
      <c r="G48" s="12">
        <f t="shared" si="7"/>
        <v>107.547169811321</v>
      </c>
      <c r="H48" s="14">
        <v>0.06</v>
      </c>
      <c r="I48" s="23">
        <v>114</v>
      </c>
      <c r="J48" s="8"/>
      <c r="K48" s="24">
        <f t="shared" si="1"/>
        <v>0</v>
      </c>
      <c r="L48" s="24">
        <f t="shared" si="2"/>
        <v>0</v>
      </c>
      <c r="M48" s="23">
        <f t="shared" si="3"/>
        <v>0</v>
      </c>
      <c r="N48" s="25">
        <f t="shared" si="4"/>
        <v>0</v>
      </c>
    </row>
    <row r="49" ht="14.25" customHeight="1" spans="1:14">
      <c r="A49" s="11"/>
      <c r="B49" s="17" t="s">
        <v>171</v>
      </c>
      <c r="C49" s="8" t="s">
        <v>97</v>
      </c>
      <c r="D49" s="12" t="s">
        <v>126</v>
      </c>
      <c r="E49" s="17" t="s">
        <v>166</v>
      </c>
      <c r="F49" s="7">
        <v>10</v>
      </c>
      <c r="G49" s="12">
        <f t="shared" si="7"/>
        <v>118.867924528302</v>
      </c>
      <c r="H49" s="14">
        <v>0.06</v>
      </c>
      <c r="I49" s="23">
        <v>126</v>
      </c>
      <c r="J49" s="8"/>
      <c r="K49" s="24">
        <f t="shared" si="1"/>
        <v>0</v>
      </c>
      <c r="L49" s="24">
        <f t="shared" si="2"/>
        <v>0</v>
      </c>
      <c r="M49" s="23">
        <f t="shared" si="3"/>
        <v>0</v>
      </c>
      <c r="N49" s="25">
        <f t="shared" si="4"/>
        <v>0</v>
      </c>
    </row>
    <row r="50" ht="14.25" customHeight="1" spans="1:14">
      <c r="A50" s="11"/>
      <c r="B50" s="17" t="s">
        <v>172</v>
      </c>
      <c r="C50" s="8" t="s">
        <v>97</v>
      </c>
      <c r="D50" s="12" t="s">
        <v>136</v>
      </c>
      <c r="E50" s="17" t="s">
        <v>166</v>
      </c>
      <c r="F50" s="7">
        <v>12.6</v>
      </c>
      <c r="G50" s="12">
        <f t="shared" si="7"/>
        <v>126.415094339623</v>
      </c>
      <c r="H50" s="14">
        <v>0.06</v>
      </c>
      <c r="I50" s="23">
        <v>134</v>
      </c>
      <c r="J50" s="8"/>
      <c r="K50" s="24">
        <f t="shared" si="1"/>
        <v>0</v>
      </c>
      <c r="L50" s="24">
        <f t="shared" si="2"/>
        <v>0</v>
      </c>
      <c r="M50" s="23">
        <f t="shared" si="3"/>
        <v>0</v>
      </c>
      <c r="N50" s="25">
        <f t="shared" si="4"/>
        <v>0</v>
      </c>
    </row>
    <row r="51" ht="14.25" customHeight="1" spans="1:14">
      <c r="A51" s="11"/>
      <c r="B51" s="17" t="s">
        <v>173</v>
      </c>
      <c r="C51" s="8" t="s">
        <v>97</v>
      </c>
      <c r="D51" s="12" t="s">
        <v>126</v>
      </c>
      <c r="E51" s="17" t="s">
        <v>129</v>
      </c>
      <c r="F51" s="7">
        <v>11</v>
      </c>
      <c r="G51" s="12">
        <f t="shared" ref="G51:G56" si="8">I51-1</f>
        <v>114</v>
      </c>
      <c r="H51" s="14">
        <v>0.06</v>
      </c>
      <c r="I51" s="23">
        <v>115</v>
      </c>
      <c r="J51" s="8"/>
      <c r="K51" s="24">
        <f t="shared" si="1"/>
        <v>0</v>
      </c>
      <c r="L51" s="24">
        <f t="shared" si="2"/>
        <v>0</v>
      </c>
      <c r="M51" s="23">
        <f t="shared" si="3"/>
        <v>0</v>
      </c>
      <c r="N51" s="25">
        <f t="shared" si="4"/>
        <v>0</v>
      </c>
    </row>
    <row r="52" ht="14.25" customHeight="1" spans="1:14">
      <c r="A52" s="11"/>
      <c r="B52" s="17" t="s">
        <v>174</v>
      </c>
      <c r="C52" s="8" t="s">
        <v>97</v>
      </c>
      <c r="D52" s="12" t="s">
        <v>126</v>
      </c>
      <c r="E52" s="17"/>
      <c r="F52" s="7">
        <v>9.6</v>
      </c>
      <c r="G52" s="12">
        <f t="shared" si="8"/>
        <v>110</v>
      </c>
      <c r="H52" s="14">
        <v>0.06</v>
      </c>
      <c r="I52" s="23">
        <v>111</v>
      </c>
      <c r="J52" s="8"/>
      <c r="K52" s="24">
        <f t="shared" si="1"/>
        <v>0</v>
      </c>
      <c r="L52" s="24">
        <f t="shared" si="2"/>
        <v>0</v>
      </c>
      <c r="M52" s="23">
        <f t="shared" si="3"/>
        <v>0</v>
      </c>
      <c r="N52" s="25">
        <f t="shared" si="4"/>
        <v>0</v>
      </c>
    </row>
    <row r="53" ht="14.25" customHeight="1" spans="1:14">
      <c r="A53" s="11"/>
      <c r="B53" s="16" t="s">
        <v>175</v>
      </c>
      <c r="C53" s="8" t="s">
        <v>97</v>
      </c>
      <c r="D53" s="12" t="s">
        <v>126</v>
      </c>
      <c r="E53" s="16"/>
      <c r="F53" s="7">
        <v>10.62</v>
      </c>
      <c r="G53" s="12">
        <f t="shared" si="8"/>
        <v>131</v>
      </c>
      <c r="H53" s="14">
        <v>0.06</v>
      </c>
      <c r="I53" s="23">
        <v>132</v>
      </c>
      <c r="J53" s="8"/>
      <c r="K53" s="24">
        <f t="shared" si="1"/>
        <v>0</v>
      </c>
      <c r="L53" s="24">
        <f t="shared" si="2"/>
        <v>0</v>
      </c>
      <c r="M53" s="23">
        <f t="shared" si="3"/>
        <v>0</v>
      </c>
      <c r="N53" s="25">
        <f t="shared" si="4"/>
        <v>0</v>
      </c>
    </row>
    <row r="54" ht="14.25" customHeight="1" spans="1:14">
      <c r="A54" s="11"/>
      <c r="B54" s="16" t="s">
        <v>176</v>
      </c>
      <c r="C54" s="8" t="s">
        <v>97</v>
      </c>
      <c r="D54" s="12" t="s">
        <v>126</v>
      </c>
      <c r="E54" s="16"/>
      <c r="F54" s="7">
        <v>8.83</v>
      </c>
      <c r="G54" s="12">
        <f t="shared" si="8"/>
        <v>99</v>
      </c>
      <c r="H54" s="14">
        <v>0.06</v>
      </c>
      <c r="I54" s="23">
        <v>100</v>
      </c>
      <c r="J54" s="8"/>
      <c r="K54" s="24">
        <f t="shared" si="1"/>
        <v>0</v>
      </c>
      <c r="L54" s="24">
        <f t="shared" si="2"/>
        <v>0</v>
      </c>
      <c r="M54" s="23">
        <f t="shared" si="3"/>
        <v>0</v>
      </c>
      <c r="N54" s="25">
        <f t="shared" si="4"/>
        <v>0</v>
      </c>
    </row>
    <row r="55" s="2" customFormat="1" ht="14.25" customHeight="1" spans="1:14">
      <c r="A55" s="11"/>
      <c r="B55" s="16" t="s">
        <v>177</v>
      </c>
      <c r="C55" s="8" t="s">
        <v>97</v>
      </c>
      <c r="D55" s="12" t="s">
        <v>126</v>
      </c>
      <c r="E55" s="16"/>
      <c r="F55" s="7">
        <v>10.6</v>
      </c>
      <c r="G55" s="12">
        <f t="shared" si="8"/>
        <v>144</v>
      </c>
      <c r="H55" s="14">
        <v>0.06</v>
      </c>
      <c r="I55" s="23">
        <v>145</v>
      </c>
      <c r="J55" s="8"/>
      <c r="K55" s="24">
        <f t="shared" si="1"/>
        <v>0</v>
      </c>
      <c r="L55" s="24">
        <f t="shared" si="2"/>
        <v>0</v>
      </c>
      <c r="M55" s="23">
        <f t="shared" si="3"/>
        <v>0</v>
      </c>
      <c r="N55" s="25">
        <f t="shared" si="4"/>
        <v>0</v>
      </c>
    </row>
    <row r="56" s="2" customFormat="1" ht="14.25" customHeight="1" spans="1:14">
      <c r="A56" s="11"/>
      <c r="B56" s="16" t="s">
        <v>178</v>
      </c>
      <c r="C56" s="8" t="s">
        <v>97</v>
      </c>
      <c r="D56" s="12" t="s">
        <v>118</v>
      </c>
      <c r="E56" s="16"/>
      <c r="F56" s="7">
        <v>6.25</v>
      </c>
      <c r="G56" s="12">
        <f t="shared" si="8"/>
        <v>84</v>
      </c>
      <c r="H56" s="14">
        <v>0.06</v>
      </c>
      <c r="I56" s="23">
        <v>85</v>
      </c>
      <c r="J56" s="8"/>
      <c r="K56" s="24">
        <f t="shared" si="1"/>
        <v>0</v>
      </c>
      <c r="L56" s="24">
        <f t="shared" si="2"/>
        <v>0</v>
      </c>
      <c r="M56" s="23">
        <f t="shared" si="3"/>
        <v>0</v>
      </c>
      <c r="N56" s="25">
        <f t="shared" si="4"/>
        <v>0</v>
      </c>
    </row>
    <row r="57" ht="14.25" customHeight="1" spans="1:14">
      <c r="A57" s="11"/>
      <c r="B57" s="16" t="s">
        <v>179</v>
      </c>
      <c r="C57" s="8" t="s">
        <v>102</v>
      </c>
      <c r="D57" s="12" t="s">
        <v>136</v>
      </c>
      <c r="E57" s="16" t="s">
        <v>127</v>
      </c>
      <c r="F57" s="7">
        <v>9</v>
      </c>
      <c r="G57" s="12">
        <f>I57/(1+H57)</f>
        <v>81.7256637168142</v>
      </c>
      <c r="H57" s="14">
        <v>0.13</v>
      </c>
      <c r="I57" s="23">
        <v>92.35</v>
      </c>
      <c r="J57" s="8"/>
      <c r="K57" s="24">
        <f t="shared" si="1"/>
        <v>0</v>
      </c>
      <c r="L57" s="24">
        <f t="shared" si="2"/>
        <v>0</v>
      </c>
      <c r="M57" s="23">
        <f t="shared" si="3"/>
        <v>0</v>
      </c>
      <c r="N57" s="25">
        <f t="shared" si="4"/>
        <v>0</v>
      </c>
    </row>
    <row r="58" ht="14.25" customHeight="1" spans="1:14">
      <c r="A58" s="11"/>
      <c r="B58" s="16" t="s">
        <v>180</v>
      </c>
      <c r="C58" s="8" t="s">
        <v>102</v>
      </c>
      <c r="D58" s="12" t="s">
        <v>136</v>
      </c>
      <c r="E58" s="16" t="s">
        <v>166</v>
      </c>
      <c r="F58" s="7">
        <v>8</v>
      </c>
      <c r="G58" s="12">
        <f>I58/(1+H58)</f>
        <v>77.2566371681416</v>
      </c>
      <c r="H58" s="14">
        <v>0.13</v>
      </c>
      <c r="I58" s="23">
        <v>87.3</v>
      </c>
      <c r="J58" s="8"/>
      <c r="K58" s="24">
        <f t="shared" si="1"/>
        <v>0</v>
      </c>
      <c r="L58" s="24">
        <f t="shared" si="2"/>
        <v>0</v>
      </c>
      <c r="M58" s="23">
        <f t="shared" si="3"/>
        <v>0</v>
      </c>
      <c r="N58" s="25">
        <f t="shared" si="4"/>
        <v>0</v>
      </c>
    </row>
    <row r="59" ht="14.25" customHeight="1" spans="1:14">
      <c r="A59" s="11"/>
      <c r="B59" s="18" t="s">
        <v>181</v>
      </c>
      <c r="C59" s="8" t="s">
        <v>102</v>
      </c>
      <c r="D59" s="12" t="s">
        <v>136</v>
      </c>
      <c r="E59" s="16" t="s">
        <v>166</v>
      </c>
      <c r="F59" s="7">
        <v>8</v>
      </c>
      <c r="G59" s="12">
        <f>I59/(1+H59)</f>
        <v>69.3362831858407</v>
      </c>
      <c r="H59" s="14">
        <v>0.13</v>
      </c>
      <c r="I59" s="23">
        <v>78.35</v>
      </c>
      <c r="J59" s="8"/>
      <c r="K59" s="24">
        <f t="shared" si="1"/>
        <v>0</v>
      </c>
      <c r="L59" s="24">
        <f t="shared" si="2"/>
        <v>0</v>
      </c>
      <c r="M59" s="23">
        <f t="shared" si="3"/>
        <v>0</v>
      </c>
      <c r="N59" s="25">
        <f t="shared" si="4"/>
        <v>0</v>
      </c>
    </row>
    <row r="60" ht="14.25" customHeight="1" spans="1:14">
      <c r="A60" s="11"/>
      <c r="B60" s="16" t="s">
        <v>182</v>
      </c>
      <c r="C60" s="8" t="s">
        <v>102</v>
      </c>
      <c r="D60" s="12" t="s">
        <v>136</v>
      </c>
      <c r="E60" s="16" t="s">
        <v>166</v>
      </c>
      <c r="F60" s="7">
        <v>8.4</v>
      </c>
      <c r="G60" s="12">
        <v>94.09</v>
      </c>
      <c r="H60" s="14">
        <v>0.13</v>
      </c>
      <c r="I60" s="26">
        <f>G60+1</f>
        <v>95.09</v>
      </c>
      <c r="J60" s="27"/>
      <c r="K60" s="24">
        <f t="shared" si="1"/>
        <v>0</v>
      </c>
      <c r="L60" s="24">
        <f t="shared" si="2"/>
        <v>0</v>
      </c>
      <c r="M60" s="23">
        <f t="shared" si="3"/>
        <v>0</v>
      </c>
      <c r="N60" s="25">
        <f t="shared" si="4"/>
        <v>0</v>
      </c>
    </row>
    <row r="61" spans="1:14">
      <c r="A61" s="11"/>
      <c r="B61" s="11"/>
      <c r="C61" s="11"/>
      <c r="D61" s="11"/>
      <c r="E61" s="11"/>
      <c r="F61" s="7"/>
      <c r="G61" s="12"/>
      <c r="H61" s="14"/>
      <c r="I61" s="26" t="s">
        <v>183</v>
      </c>
      <c r="J61" s="27"/>
      <c r="K61" s="27"/>
      <c r="L61" s="24">
        <f t="shared" si="2"/>
        <v>0</v>
      </c>
      <c r="M61" s="27"/>
      <c r="N61" s="27"/>
    </row>
    <row r="62" spans="1:14">
      <c r="A62" s="11"/>
      <c r="B62" s="9" t="s">
        <v>184</v>
      </c>
      <c r="C62" s="9"/>
      <c r="D62" s="9"/>
      <c r="E62" s="9"/>
      <c r="F62" s="10"/>
      <c r="G62" s="12"/>
      <c r="H62" s="14"/>
      <c r="I62" s="14"/>
      <c r="J62" s="14"/>
      <c r="K62" s="14"/>
      <c r="L62" s="24">
        <f t="shared" si="2"/>
        <v>0</v>
      </c>
      <c r="M62" s="14"/>
      <c r="N62" s="14"/>
    </row>
    <row r="63" spans="1:14">
      <c r="A63" s="11"/>
      <c r="B63" s="19" t="s">
        <v>185</v>
      </c>
      <c r="C63" s="7" t="s">
        <v>95</v>
      </c>
      <c r="D63" s="12" t="s">
        <v>186</v>
      </c>
      <c r="E63" s="20" t="s">
        <v>187</v>
      </c>
      <c r="F63" s="7">
        <v>8.5</v>
      </c>
      <c r="G63" s="12">
        <f>9823.01/60</f>
        <v>163.716833333333</v>
      </c>
      <c r="H63" s="14">
        <v>0.13</v>
      </c>
      <c r="I63" s="23">
        <f>G63*(1+H63)</f>
        <v>185.000021666667</v>
      </c>
      <c r="J63" s="8"/>
      <c r="K63" s="24">
        <f>J63*F63</f>
        <v>0</v>
      </c>
      <c r="L63" s="24">
        <f t="shared" si="2"/>
        <v>0</v>
      </c>
      <c r="M63" s="23">
        <f>J63*I63</f>
        <v>0</v>
      </c>
      <c r="N63" s="25">
        <f>M63+J63</f>
        <v>0</v>
      </c>
    </row>
    <row r="64" spans="1:14">
      <c r="A64" s="11"/>
      <c r="B64" s="21" t="s">
        <v>188</v>
      </c>
      <c r="C64" s="7" t="s">
        <v>95</v>
      </c>
      <c r="D64" s="12" t="s">
        <v>186</v>
      </c>
      <c r="E64" s="20">
        <v>1000</v>
      </c>
      <c r="F64" s="7">
        <v>18.2</v>
      </c>
      <c r="G64" s="12">
        <f>I64/(1+H64)</f>
        <v>336.283185840708</v>
      </c>
      <c r="H64" s="14">
        <v>0.13</v>
      </c>
      <c r="I64" s="23">
        <v>380</v>
      </c>
      <c r="J64" s="8"/>
      <c r="K64" s="24">
        <f>J64*F64</f>
        <v>0</v>
      </c>
      <c r="L64" s="24">
        <f t="shared" si="2"/>
        <v>0</v>
      </c>
      <c r="M64" s="23">
        <f>J64*I64</f>
        <v>0</v>
      </c>
      <c r="N64" s="25">
        <f>M64+J64</f>
        <v>0</v>
      </c>
    </row>
    <row r="65" spans="1:15">
      <c r="A65" s="11"/>
      <c r="B65" s="21" t="s">
        <v>189</v>
      </c>
      <c r="C65" s="7" t="s">
        <v>95</v>
      </c>
      <c r="D65" s="12" t="s">
        <v>186</v>
      </c>
      <c r="E65" s="20" t="s">
        <v>190</v>
      </c>
      <c r="F65" s="7">
        <v>9.25</v>
      </c>
      <c r="G65" s="12">
        <f>I65/(1+H65)</f>
        <v>141.592920353982</v>
      </c>
      <c r="H65" s="14">
        <v>0.13</v>
      </c>
      <c r="I65" s="12">
        <v>160</v>
      </c>
      <c r="J65" s="8"/>
      <c r="K65" s="24">
        <f>J65*F65</f>
        <v>0</v>
      </c>
      <c r="L65" s="24">
        <f t="shared" si="2"/>
        <v>0</v>
      </c>
      <c r="M65" s="23">
        <f>J65*I65</f>
        <v>0</v>
      </c>
      <c r="N65" s="25">
        <f>M65+J65</f>
        <v>0</v>
      </c>
      <c r="O65" s="12"/>
    </row>
    <row r="66" spans="1:15">
      <c r="A66" s="11"/>
      <c r="B66" s="21" t="s">
        <v>191</v>
      </c>
      <c r="C66" s="7" t="s">
        <v>95</v>
      </c>
      <c r="D66" s="12" t="s">
        <v>186</v>
      </c>
      <c r="E66" s="20"/>
      <c r="F66" s="7">
        <v>13.5</v>
      </c>
      <c r="G66" s="12">
        <f>I66/(1+H66)</f>
        <v>176.991150442478</v>
      </c>
      <c r="H66" s="14">
        <v>0.13</v>
      </c>
      <c r="I66" s="12">
        <v>200</v>
      </c>
      <c r="J66" s="8"/>
      <c r="K66" s="24">
        <f>J66*F66</f>
        <v>0</v>
      </c>
      <c r="L66" s="24">
        <f t="shared" si="2"/>
        <v>0</v>
      </c>
      <c r="M66" s="23">
        <f>J66*I66</f>
        <v>0</v>
      </c>
      <c r="N66" s="25">
        <f>M66+J66</f>
        <v>0</v>
      </c>
      <c r="O66" s="12"/>
    </row>
    <row r="67" spans="1:13">
      <c r="A67" s="11"/>
      <c r="B67" s="9" t="s">
        <v>192</v>
      </c>
      <c r="C67" s="9"/>
      <c r="D67" s="9"/>
      <c r="E67" s="28"/>
      <c r="F67" s="10"/>
      <c r="G67" s="12"/>
      <c r="H67" s="14"/>
      <c r="L67" s="24">
        <f t="shared" si="2"/>
        <v>0</v>
      </c>
      <c r="M67" s="2"/>
    </row>
    <row r="68" spans="1:14">
      <c r="A68" s="11"/>
      <c r="B68" s="19" t="s">
        <v>193</v>
      </c>
      <c r="C68" s="7" t="s">
        <v>95</v>
      </c>
      <c r="D68" s="12" t="s">
        <v>194</v>
      </c>
      <c r="E68" s="20" t="s">
        <v>187</v>
      </c>
      <c r="F68" s="7">
        <v>2.4</v>
      </c>
      <c r="G68" s="12">
        <f>5575.22/60</f>
        <v>92.9203333333333</v>
      </c>
      <c r="H68" s="14">
        <v>0.13</v>
      </c>
      <c r="I68" s="23">
        <f>G68*(1+H68)</f>
        <v>104.999976666667</v>
      </c>
      <c r="J68" s="8"/>
      <c r="K68" s="24">
        <f>J68*F68</f>
        <v>0</v>
      </c>
      <c r="L68" s="24">
        <f t="shared" si="2"/>
        <v>0</v>
      </c>
      <c r="M68" s="23">
        <f>J68*I68</f>
        <v>0</v>
      </c>
      <c r="N68" s="25">
        <f t="shared" ref="N68:N95" si="9">M68+J68</f>
        <v>0</v>
      </c>
    </row>
    <row r="69" spans="1:14">
      <c r="A69" s="11"/>
      <c r="B69" s="21" t="s">
        <v>195</v>
      </c>
      <c r="C69" s="7" t="s">
        <v>95</v>
      </c>
      <c r="D69" s="12" t="s">
        <v>194</v>
      </c>
      <c r="E69" s="20">
        <v>1000</v>
      </c>
      <c r="F69" s="7">
        <v>7</v>
      </c>
      <c r="G69" s="12">
        <f>I69/(1+H69)</f>
        <v>230.088495575221</v>
      </c>
      <c r="H69" s="14">
        <v>0.13</v>
      </c>
      <c r="I69" s="23">
        <v>260</v>
      </c>
      <c r="J69" s="8"/>
      <c r="K69" s="24">
        <f>J69*F69</f>
        <v>0</v>
      </c>
      <c r="L69" s="24">
        <f t="shared" si="2"/>
        <v>0</v>
      </c>
      <c r="M69" s="23">
        <f>J69*I69</f>
        <v>0</v>
      </c>
      <c r="N69" s="25">
        <f t="shared" si="9"/>
        <v>0</v>
      </c>
    </row>
    <row r="70" spans="1:14">
      <c r="A70" s="11"/>
      <c r="B70" s="19" t="s">
        <v>196</v>
      </c>
      <c r="C70" s="7" t="s">
        <v>95</v>
      </c>
      <c r="D70" s="12" t="s">
        <v>194</v>
      </c>
      <c r="E70" s="20" t="s">
        <v>190</v>
      </c>
      <c r="F70" s="7">
        <v>9.25</v>
      </c>
      <c r="G70" s="12">
        <f>I70/(1+H70)</f>
        <v>141.592920353982</v>
      </c>
      <c r="H70" s="14">
        <v>0.13</v>
      </c>
      <c r="I70" s="23">
        <v>160</v>
      </c>
      <c r="J70" s="8"/>
      <c r="K70" s="24">
        <f>J70*F70</f>
        <v>0</v>
      </c>
      <c r="L70" s="24">
        <f>K70+J70/2</f>
        <v>0</v>
      </c>
      <c r="M70" s="23">
        <f>J70*I70</f>
        <v>0</v>
      </c>
      <c r="N70" s="25">
        <f t="shared" si="9"/>
        <v>0</v>
      </c>
    </row>
    <row r="71" spans="1:14">
      <c r="A71" s="11"/>
      <c r="B71" s="21" t="s">
        <v>197</v>
      </c>
      <c r="C71" s="7" t="s">
        <v>95</v>
      </c>
      <c r="D71" s="12" t="s">
        <v>194</v>
      </c>
      <c r="E71" s="20"/>
      <c r="F71" s="7">
        <v>5.2</v>
      </c>
      <c r="G71" s="12">
        <f>I71/(1+H71)</f>
        <v>141.592920353982</v>
      </c>
      <c r="H71" s="14">
        <v>0.13</v>
      </c>
      <c r="I71" s="23">
        <v>160</v>
      </c>
      <c r="J71" s="8"/>
      <c r="K71" s="24">
        <f>J71*F71</f>
        <v>0</v>
      </c>
      <c r="L71" s="24">
        <f>K71+J71/2</f>
        <v>0</v>
      </c>
      <c r="M71" s="23">
        <f>J71*I71</f>
        <v>0</v>
      </c>
      <c r="N71" s="25">
        <f t="shared" si="9"/>
        <v>0</v>
      </c>
    </row>
    <row r="72" spans="1:14">
      <c r="A72" s="11"/>
      <c r="B72" s="9" t="s">
        <v>116</v>
      </c>
      <c r="C72" s="9"/>
      <c r="D72" s="9"/>
      <c r="E72" s="28"/>
      <c r="F72" s="10"/>
      <c r="G72" s="12"/>
      <c r="H72" s="14"/>
      <c r="I72" s="23"/>
      <c r="J72" s="8"/>
      <c r="K72" s="24"/>
      <c r="L72" s="24">
        <f t="shared" ref="L72:L84" si="10">K72+J72/2</f>
        <v>0</v>
      </c>
      <c r="M72" s="23"/>
      <c r="N72" s="25">
        <f t="shared" si="9"/>
        <v>0</v>
      </c>
    </row>
    <row r="73" s="2" customFormat="1" spans="1:14">
      <c r="A73" s="11"/>
      <c r="B73" s="15" t="s">
        <v>198</v>
      </c>
      <c r="C73" s="8" t="s">
        <v>91</v>
      </c>
      <c r="D73" s="12" t="s">
        <v>136</v>
      </c>
      <c r="E73" s="13" t="s">
        <v>199</v>
      </c>
      <c r="F73" s="7">
        <v>6.3</v>
      </c>
      <c r="G73" s="12">
        <v>68</v>
      </c>
      <c r="H73" s="14">
        <v>0.08</v>
      </c>
      <c r="I73" s="23">
        <f t="shared" ref="I73:I80" si="11">G73*(1+H73)</f>
        <v>73.44</v>
      </c>
      <c r="J73" s="8"/>
      <c r="K73" s="24">
        <f t="shared" ref="K73:K95" si="12">J73*F73</f>
        <v>0</v>
      </c>
      <c r="L73" s="24">
        <f t="shared" si="10"/>
        <v>0</v>
      </c>
      <c r="M73" s="23">
        <f t="shared" ref="M73:M95" si="13">J73*I73</f>
        <v>0</v>
      </c>
      <c r="N73" s="25">
        <f t="shared" si="9"/>
        <v>0</v>
      </c>
    </row>
    <row r="74" spans="1:14">
      <c r="A74" s="11"/>
      <c r="B74" s="15" t="s">
        <v>200</v>
      </c>
      <c r="C74" s="8" t="s">
        <v>91</v>
      </c>
      <c r="D74" s="12" t="s">
        <v>136</v>
      </c>
      <c r="E74" s="13" t="s">
        <v>199</v>
      </c>
      <c r="F74" s="7">
        <v>7.5</v>
      </c>
      <c r="G74" s="12">
        <v>74</v>
      </c>
      <c r="H74" s="14">
        <v>0.08</v>
      </c>
      <c r="I74" s="23">
        <f t="shared" si="11"/>
        <v>79.92</v>
      </c>
      <c r="J74" s="8"/>
      <c r="K74" s="24">
        <f t="shared" si="12"/>
        <v>0</v>
      </c>
      <c r="L74" s="24">
        <f t="shared" si="10"/>
        <v>0</v>
      </c>
      <c r="M74" s="23">
        <f t="shared" si="13"/>
        <v>0</v>
      </c>
      <c r="N74" s="25">
        <f t="shared" si="9"/>
        <v>0</v>
      </c>
    </row>
    <row r="75" spans="1:14">
      <c r="A75" s="11"/>
      <c r="B75" s="15" t="s">
        <v>201</v>
      </c>
      <c r="C75" s="8" t="s">
        <v>91</v>
      </c>
      <c r="D75" s="12" t="s">
        <v>136</v>
      </c>
      <c r="E75" s="13" t="s">
        <v>199</v>
      </c>
      <c r="F75" s="7">
        <v>7.5</v>
      </c>
      <c r="G75" s="12">
        <v>82</v>
      </c>
      <c r="H75" s="14">
        <v>0.08</v>
      </c>
      <c r="I75" s="23">
        <f t="shared" si="11"/>
        <v>88.56</v>
      </c>
      <c r="J75" s="8"/>
      <c r="K75" s="24">
        <f t="shared" si="12"/>
        <v>0</v>
      </c>
      <c r="L75" s="24">
        <f t="shared" si="10"/>
        <v>0</v>
      </c>
      <c r="M75" s="23">
        <f t="shared" si="13"/>
        <v>0</v>
      </c>
      <c r="N75" s="25">
        <f t="shared" si="9"/>
        <v>0</v>
      </c>
    </row>
    <row r="76" spans="1:14">
      <c r="A76" s="11"/>
      <c r="B76" s="11" t="s">
        <v>202</v>
      </c>
      <c r="C76" s="8" t="s">
        <v>91</v>
      </c>
      <c r="D76" s="12" t="s">
        <v>136</v>
      </c>
      <c r="E76" s="13" t="s">
        <v>199</v>
      </c>
      <c r="F76" s="7">
        <v>8.1</v>
      </c>
      <c r="G76" s="12">
        <v>90</v>
      </c>
      <c r="H76" s="14">
        <v>0.08</v>
      </c>
      <c r="I76" s="23">
        <f t="shared" si="11"/>
        <v>97.2</v>
      </c>
      <c r="J76" s="8"/>
      <c r="K76" s="24">
        <f t="shared" si="12"/>
        <v>0</v>
      </c>
      <c r="L76" s="24">
        <f t="shared" si="10"/>
        <v>0</v>
      </c>
      <c r="M76" s="23">
        <f t="shared" si="13"/>
        <v>0</v>
      </c>
      <c r="N76" s="25">
        <f t="shared" si="9"/>
        <v>0</v>
      </c>
    </row>
    <row r="77" spans="1:14">
      <c r="A77" s="11"/>
      <c r="B77" s="15" t="s">
        <v>203</v>
      </c>
      <c r="C77" s="8" t="s">
        <v>91</v>
      </c>
      <c r="D77" s="12" t="s">
        <v>136</v>
      </c>
      <c r="E77" s="13" t="s">
        <v>127</v>
      </c>
      <c r="F77" s="7">
        <v>5.5</v>
      </c>
      <c r="G77" s="12">
        <v>61</v>
      </c>
      <c r="H77" s="14">
        <v>0.08</v>
      </c>
      <c r="I77" s="23">
        <f t="shared" si="11"/>
        <v>65.88</v>
      </c>
      <c r="J77" s="8"/>
      <c r="K77" s="24">
        <f t="shared" si="12"/>
        <v>0</v>
      </c>
      <c r="L77" s="24">
        <f t="shared" si="10"/>
        <v>0</v>
      </c>
      <c r="M77" s="23">
        <f t="shared" si="13"/>
        <v>0</v>
      </c>
      <c r="N77" s="25">
        <f t="shared" si="9"/>
        <v>0</v>
      </c>
    </row>
    <row r="78" spans="1:14">
      <c r="A78" s="11"/>
      <c r="B78" s="11" t="s">
        <v>204</v>
      </c>
      <c r="C78" s="8" t="s">
        <v>91</v>
      </c>
      <c r="D78" s="12" t="s">
        <v>136</v>
      </c>
      <c r="E78" s="13" t="s">
        <v>127</v>
      </c>
      <c r="F78" s="7">
        <v>5.5</v>
      </c>
      <c r="G78" s="12">
        <v>59</v>
      </c>
      <c r="H78" s="14">
        <v>0.08</v>
      </c>
      <c r="I78" s="23">
        <f t="shared" si="11"/>
        <v>63.72</v>
      </c>
      <c r="J78" s="8"/>
      <c r="K78" s="24">
        <f t="shared" si="12"/>
        <v>0</v>
      </c>
      <c r="L78" s="24">
        <f t="shared" si="10"/>
        <v>0</v>
      </c>
      <c r="M78" s="23">
        <f t="shared" si="13"/>
        <v>0</v>
      </c>
      <c r="N78" s="25">
        <f t="shared" si="9"/>
        <v>0</v>
      </c>
    </row>
    <row r="79" spans="1:14">
      <c r="A79" s="11"/>
      <c r="B79" s="15" t="s">
        <v>205</v>
      </c>
      <c r="C79" s="8" t="s">
        <v>91</v>
      </c>
      <c r="D79" s="12" t="s">
        <v>136</v>
      </c>
      <c r="E79" s="13" t="s">
        <v>127</v>
      </c>
      <c r="F79" s="7">
        <v>5.5</v>
      </c>
      <c r="G79" s="12">
        <v>61</v>
      </c>
      <c r="H79" s="14">
        <v>0.08</v>
      </c>
      <c r="I79" s="23">
        <f t="shared" si="11"/>
        <v>65.88</v>
      </c>
      <c r="J79" s="8"/>
      <c r="K79" s="24">
        <f t="shared" si="12"/>
        <v>0</v>
      </c>
      <c r="L79" s="24">
        <f t="shared" si="10"/>
        <v>0</v>
      </c>
      <c r="M79" s="23">
        <f t="shared" si="13"/>
        <v>0</v>
      </c>
      <c r="N79" s="25">
        <f t="shared" si="9"/>
        <v>0</v>
      </c>
    </row>
    <row r="80" spans="1:14">
      <c r="A80" s="11"/>
      <c r="B80" s="15">
        <v>6828</v>
      </c>
      <c r="C80" s="8" t="s">
        <v>91</v>
      </c>
      <c r="D80" s="12" t="s">
        <v>136</v>
      </c>
      <c r="E80" s="13" t="s">
        <v>127</v>
      </c>
      <c r="F80" s="7">
        <v>5.5</v>
      </c>
      <c r="G80" s="12">
        <v>59</v>
      </c>
      <c r="H80" s="14">
        <v>0.08</v>
      </c>
      <c r="I80" s="23">
        <f t="shared" si="11"/>
        <v>63.72</v>
      </c>
      <c r="J80" s="8"/>
      <c r="K80" s="24">
        <f t="shared" si="12"/>
        <v>0</v>
      </c>
      <c r="L80" s="24">
        <f t="shared" si="10"/>
        <v>0</v>
      </c>
      <c r="M80" s="23">
        <f t="shared" si="13"/>
        <v>0</v>
      </c>
      <c r="N80" s="25">
        <f t="shared" si="9"/>
        <v>0</v>
      </c>
    </row>
    <row r="81" s="2" customFormat="1" spans="1:14">
      <c r="A81" s="11"/>
      <c r="B81" s="29" t="s">
        <v>206</v>
      </c>
      <c r="C81" s="29" t="s">
        <v>207</v>
      </c>
      <c r="D81" s="12" t="s">
        <v>136</v>
      </c>
      <c r="E81" s="30" t="s">
        <v>129</v>
      </c>
      <c r="F81" s="7">
        <v>8.4</v>
      </c>
      <c r="G81" s="12">
        <f t="shared" ref="G81:G85" si="14">I81-1</f>
        <v>89</v>
      </c>
      <c r="H81" s="14">
        <v>0.08</v>
      </c>
      <c r="I81" s="12">
        <v>90</v>
      </c>
      <c r="J81" s="8"/>
      <c r="K81" s="24">
        <f t="shared" si="12"/>
        <v>0</v>
      </c>
      <c r="L81" s="24">
        <f t="shared" si="10"/>
        <v>0</v>
      </c>
      <c r="M81" s="23">
        <f t="shared" si="13"/>
        <v>0</v>
      </c>
      <c r="N81" s="25">
        <f t="shared" si="9"/>
        <v>0</v>
      </c>
    </row>
    <row r="82" s="2" customFormat="1" spans="1:14">
      <c r="A82" s="11"/>
      <c r="B82" s="29" t="s">
        <v>208</v>
      </c>
      <c r="C82" s="29" t="s">
        <v>207</v>
      </c>
      <c r="D82" s="12" t="s">
        <v>136</v>
      </c>
      <c r="E82" s="30" t="s">
        <v>127</v>
      </c>
      <c r="F82" s="7">
        <v>6.3</v>
      </c>
      <c r="G82" s="12">
        <f t="shared" si="14"/>
        <v>69</v>
      </c>
      <c r="H82" s="14">
        <v>0.08</v>
      </c>
      <c r="I82" s="12">
        <v>70</v>
      </c>
      <c r="J82" s="8"/>
      <c r="K82" s="24">
        <f t="shared" si="12"/>
        <v>0</v>
      </c>
      <c r="L82" s="24">
        <f t="shared" si="10"/>
        <v>0</v>
      </c>
      <c r="M82" s="23">
        <f t="shared" si="13"/>
        <v>0</v>
      </c>
      <c r="N82" s="25">
        <f t="shared" si="9"/>
        <v>0</v>
      </c>
    </row>
    <row r="83" s="2" customFormat="1" spans="1:14">
      <c r="A83" s="11"/>
      <c r="B83" s="31" t="s">
        <v>209</v>
      </c>
      <c r="C83" s="29" t="s">
        <v>207</v>
      </c>
      <c r="D83" s="12" t="s">
        <v>136</v>
      </c>
      <c r="E83" s="30" t="s">
        <v>166</v>
      </c>
      <c r="F83" s="7">
        <v>8.4</v>
      </c>
      <c r="G83" s="12">
        <f t="shared" si="14"/>
        <v>91</v>
      </c>
      <c r="H83" s="14">
        <v>0.08</v>
      </c>
      <c r="I83" s="12">
        <v>92</v>
      </c>
      <c r="J83" s="8"/>
      <c r="K83" s="24">
        <f t="shared" si="12"/>
        <v>0</v>
      </c>
      <c r="L83" s="24">
        <f t="shared" si="10"/>
        <v>0</v>
      </c>
      <c r="M83" s="23">
        <f t="shared" si="13"/>
        <v>0</v>
      </c>
      <c r="N83" s="25">
        <f t="shared" si="9"/>
        <v>0</v>
      </c>
    </row>
    <row r="84" s="2" customFormat="1" spans="1:14">
      <c r="A84" s="11"/>
      <c r="B84" s="29" t="s">
        <v>210</v>
      </c>
      <c r="C84" s="29" t="s">
        <v>207</v>
      </c>
      <c r="D84" s="12" t="s">
        <v>136</v>
      </c>
      <c r="E84" s="30" t="s">
        <v>166</v>
      </c>
      <c r="F84" s="7">
        <v>10.4</v>
      </c>
      <c r="G84" s="12">
        <f t="shared" si="14"/>
        <v>76</v>
      </c>
      <c r="H84" s="14">
        <v>0.08</v>
      </c>
      <c r="I84" s="12">
        <v>77</v>
      </c>
      <c r="J84" s="8"/>
      <c r="K84" s="24">
        <f t="shared" si="12"/>
        <v>0</v>
      </c>
      <c r="L84" s="24">
        <f t="shared" si="10"/>
        <v>0</v>
      </c>
      <c r="M84" s="23">
        <f t="shared" si="13"/>
        <v>0</v>
      </c>
      <c r="N84" s="25">
        <f t="shared" si="9"/>
        <v>0</v>
      </c>
    </row>
    <row r="85" s="2" customFormat="1" spans="1:14">
      <c r="A85" s="11"/>
      <c r="B85" s="29" t="s">
        <v>211</v>
      </c>
      <c r="C85" s="29" t="s">
        <v>207</v>
      </c>
      <c r="D85" s="12" t="s">
        <v>136</v>
      </c>
      <c r="E85" s="30" t="s">
        <v>129</v>
      </c>
      <c r="F85" s="7">
        <v>11.4</v>
      </c>
      <c r="G85" s="12">
        <f t="shared" si="14"/>
        <v>89</v>
      </c>
      <c r="H85" s="14">
        <v>0.08</v>
      </c>
      <c r="I85" s="12">
        <v>90</v>
      </c>
      <c r="J85" s="8"/>
      <c r="K85" s="24"/>
      <c r="L85" s="24"/>
      <c r="M85" s="23"/>
      <c r="N85" s="25"/>
    </row>
    <row r="86" s="2" customFormat="1" spans="1:14">
      <c r="A86" s="11"/>
      <c r="B86" s="31" t="s">
        <v>212</v>
      </c>
      <c r="C86" s="29" t="s">
        <v>207</v>
      </c>
      <c r="D86" s="12" t="s">
        <v>136</v>
      </c>
      <c r="E86" s="30" t="s">
        <v>129</v>
      </c>
      <c r="F86" s="7">
        <v>10.2</v>
      </c>
      <c r="G86" s="12">
        <f t="shared" ref="G86:G91" si="15">I86-1</f>
        <v>113</v>
      </c>
      <c r="H86" s="14">
        <v>0.08</v>
      </c>
      <c r="I86" s="12">
        <v>114</v>
      </c>
      <c r="J86" s="8"/>
      <c r="K86" s="24">
        <f t="shared" ref="K86:K98" si="16">J86*F86</f>
        <v>0</v>
      </c>
      <c r="L86" s="24">
        <f t="shared" ref="L86:L98" si="17">K86+J86/2</f>
        <v>0</v>
      </c>
      <c r="M86" s="23">
        <f t="shared" ref="M86:M98" si="18">J86*I86</f>
        <v>0</v>
      </c>
      <c r="N86" s="25">
        <f t="shared" ref="N86:N98" si="19">M86+J86</f>
        <v>0</v>
      </c>
    </row>
    <row r="87" s="2" customFormat="1" spans="1:14">
      <c r="A87" s="11"/>
      <c r="B87" s="31" t="s">
        <v>213</v>
      </c>
      <c r="C87" s="29" t="s">
        <v>207</v>
      </c>
      <c r="D87" s="12" t="s">
        <v>136</v>
      </c>
      <c r="E87" s="30" t="s">
        <v>214</v>
      </c>
      <c r="F87" s="7">
        <v>7.2</v>
      </c>
      <c r="G87" s="12">
        <f t="shared" si="15"/>
        <v>73</v>
      </c>
      <c r="H87" s="14">
        <v>0.08</v>
      </c>
      <c r="I87" s="12">
        <v>74</v>
      </c>
      <c r="J87" s="8"/>
      <c r="K87" s="24">
        <f t="shared" si="16"/>
        <v>0</v>
      </c>
      <c r="L87" s="24">
        <f t="shared" si="17"/>
        <v>0</v>
      </c>
      <c r="M87" s="23">
        <f t="shared" si="18"/>
        <v>0</v>
      </c>
      <c r="N87" s="25">
        <f t="shared" si="19"/>
        <v>0</v>
      </c>
    </row>
    <row r="88" s="2" customFormat="1" spans="1:14">
      <c r="A88" s="11"/>
      <c r="B88" s="29" t="s">
        <v>215</v>
      </c>
      <c r="C88" s="29" t="s">
        <v>207</v>
      </c>
      <c r="D88" s="12" t="s">
        <v>136</v>
      </c>
      <c r="E88" s="30" t="s">
        <v>129</v>
      </c>
      <c r="F88" s="7">
        <v>6.9</v>
      </c>
      <c r="G88" s="12">
        <f t="shared" si="15"/>
        <v>73.7</v>
      </c>
      <c r="H88" s="14">
        <v>0.08</v>
      </c>
      <c r="I88" s="12">
        <v>74.7</v>
      </c>
      <c r="J88" s="8"/>
      <c r="K88" s="24">
        <f t="shared" si="16"/>
        <v>0</v>
      </c>
      <c r="L88" s="24">
        <f t="shared" si="17"/>
        <v>0</v>
      </c>
      <c r="M88" s="23">
        <f t="shared" si="18"/>
        <v>0</v>
      </c>
      <c r="N88" s="25">
        <f t="shared" si="19"/>
        <v>0</v>
      </c>
    </row>
    <row r="89" s="2" customFormat="1" spans="1:14">
      <c r="A89" s="11"/>
      <c r="B89" s="29" t="s">
        <v>216</v>
      </c>
      <c r="C89" s="29" t="s">
        <v>207</v>
      </c>
      <c r="D89" s="12" t="s">
        <v>136</v>
      </c>
      <c r="E89" s="30" t="s">
        <v>129</v>
      </c>
      <c r="F89" s="7">
        <v>9.9</v>
      </c>
      <c r="G89" s="12">
        <f t="shared" si="15"/>
        <v>74.1</v>
      </c>
      <c r="H89" s="14">
        <v>0.08</v>
      </c>
      <c r="I89" s="12">
        <v>75.1</v>
      </c>
      <c r="J89" s="8"/>
      <c r="K89" s="24">
        <f t="shared" si="16"/>
        <v>0</v>
      </c>
      <c r="L89" s="24">
        <f t="shared" si="17"/>
        <v>0</v>
      </c>
      <c r="M89" s="23">
        <f t="shared" si="18"/>
        <v>0</v>
      </c>
      <c r="N89" s="25">
        <f t="shared" si="19"/>
        <v>0</v>
      </c>
    </row>
    <row r="90" s="2" customFormat="1" spans="1:14">
      <c r="A90" s="11"/>
      <c r="B90" s="29" t="s">
        <v>217</v>
      </c>
      <c r="C90" s="29" t="s">
        <v>207</v>
      </c>
      <c r="D90" s="12" t="s">
        <v>136</v>
      </c>
      <c r="E90" s="30" t="s">
        <v>127</v>
      </c>
      <c r="F90" s="7">
        <v>7.8</v>
      </c>
      <c r="G90" s="12">
        <f t="shared" si="15"/>
        <v>58.1</v>
      </c>
      <c r="H90" s="14">
        <v>0.08</v>
      </c>
      <c r="I90" s="12">
        <v>59.1</v>
      </c>
      <c r="J90" s="8"/>
      <c r="K90" s="24">
        <f t="shared" si="16"/>
        <v>0</v>
      </c>
      <c r="L90" s="24">
        <f t="shared" si="17"/>
        <v>0</v>
      </c>
      <c r="M90" s="23">
        <f t="shared" si="18"/>
        <v>0</v>
      </c>
      <c r="N90" s="25">
        <f t="shared" si="19"/>
        <v>0</v>
      </c>
    </row>
    <row r="91" s="2" customFormat="1" spans="1:14">
      <c r="A91" s="11"/>
      <c r="B91" s="29" t="s">
        <v>218</v>
      </c>
      <c r="C91" s="29" t="s">
        <v>207</v>
      </c>
      <c r="D91" s="12" t="s">
        <v>136</v>
      </c>
      <c r="E91" s="30" t="s">
        <v>127</v>
      </c>
      <c r="F91" s="7">
        <v>7.8</v>
      </c>
      <c r="G91" s="12">
        <f t="shared" si="15"/>
        <v>124</v>
      </c>
      <c r="H91" s="14">
        <v>0.08</v>
      </c>
      <c r="I91" s="12">
        <v>125</v>
      </c>
      <c r="J91" s="8"/>
      <c r="K91" s="24">
        <f t="shared" si="16"/>
        <v>0</v>
      </c>
      <c r="L91" s="24">
        <f t="shared" si="17"/>
        <v>0</v>
      </c>
      <c r="M91" s="23">
        <f t="shared" si="18"/>
        <v>0</v>
      </c>
      <c r="N91" s="25">
        <f t="shared" si="19"/>
        <v>0</v>
      </c>
    </row>
    <row r="92" s="2" customFormat="1" spans="1:14">
      <c r="A92" s="11"/>
      <c r="B92" s="11" t="s">
        <v>219</v>
      </c>
      <c r="C92" s="11" t="s">
        <v>220</v>
      </c>
      <c r="D92" s="12" t="s">
        <v>136</v>
      </c>
      <c r="E92" s="11"/>
      <c r="F92" s="7">
        <v>6.3</v>
      </c>
      <c r="G92" s="12">
        <v>80</v>
      </c>
      <c r="H92" s="14">
        <v>0.08</v>
      </c>
      <c r="I92" s="12">
        <v>81</v>
      </c>
      <c r="J92" s="8"/>
      <c r="K92" s="24">
        <f t="shared" si="16"/>
        <v>0</v>
      </c>
      <c r="L92" s="24">
        <f t="shared" si="17"/>
        <v>0</v>
      </c>
      <c r="M92" s="23">
        <f t="shared" si="18"/>
        <v>0</v>
      </c>
      <c r="N92" s="25">
        <f t="shared" si="19"/>
        <v>0</v>
      </c>
    </row>
    <row r="93" s="2" customFormat="1" spans="1:14">
      <c r="A93" s="11"/>
      <c r="B93" s="15" t="s">
        <v>198</v>
      </c>
      <c r="C93" s="11" t="s">
        <v>220</v>
      </c>
      <c r="D93" s="12" t="s">
        <v>136</v>
      </c>
      <c r="E93" s="13" t="s">
        <v>199</v>
      </c>
      <c r="F93" s="7">
        <v>6.3</v>
      </c>
      <c r="G93" s="12">
        <v>68</v>
      </c>
      <c r="H93" s="14">
        <v>0.08</v>
      </c>
      <c r="I93" s="23">
        <f t="shared" ref="I93:I96" si="20">G93*(1+H93)</f>
        <v>73.44</v>
      </c>
      <c r="J93" s="8"/>
      <c r="K93" s="24">
        <f t="shared" si="16"/>
        <v>0</v>
      </c>
      <c r="L93" s="24">
        <f t="shared" si="17"/>
        <v>0</v>
      </c>
      <c r="M93" s="23">
        <f t="shared" si="18"/>
        <v>0</v>
      </c>
      <c r="N93" s="25">
        <f t="shared" si="19"/>
        <v>0</v>
      </c>
    </row>
    <row r="94" s="2" customFormat="1" spans="1:14">
      <c r="A94" s="11"/>
      <c r="B94" s="15" t="s">
        <v>200</v>
      </c>
      <c r="C94" s="11" t="s">
        <v>220</v>
      </c>
      <c r="D94" s="12" t="s">
        <v>136</v>
      </c>
      <c r="E94" s="13" t="s">
        <v>199</v>
      </c>
      <c r="F94" s="7">
        <v>7.5</v>
      </c>
      <c r="G94" s="12">
        <v>74</v>
      </c>
      <c r="H94" s="14">
        <v>0.08</v>
      </c>
      <c r="I94" s="23">
        <f t="shared" si="20"/>
        <v>79.92</v>
      </c>
      <c r="J94" s="8"/>
      <c r="K94" s="24">
        <f t="shared" si="16"/>
        <v>0</v>
      </c>
      <c r="L94" s="24">
        <f t="shared" si="17"/>
        <v>0</v>
      </c>
      <c r="M94" s="23">
        <f t="shared" si="18"/>
        <v>0</v>
      </c>
      <c r="N94" s="25">
        <f t="shared" si="19"/>
        <v>0</v>
      </c>
    </row>
    <row r="95" s="2" customFormat="1" spans="1:14">
      <c r="A95" s="11"/>
      <c r="B95" s="15" t="s">
        <v>201</v>
      </c>
      <c r="C95" s="11" t="s">
        <v>220</v>
      </c>
      <c r="D95" s="12" t="s">
        <v>136</v>
      </c>
      <c r="E95" s="13" t="s">
        <v>199</v>
      </c>
      <c r="F95" s="7">
        <v>7.5</v>
      </c>
      <c r="G95" s="12">
        <v>82</v>
      </c>
      <c r="H95" s="14">
        <v>0.08</v>
      </c>
      <c r="I95" s="23">
        <f t="shared" si="20"/>
        <v>88.56</v>
      </c>
      <c r="J95" s="8"/>
      <c r="K95" s="24">
        <f t="shared" si="16"/>
        <v>0</v>
      </c>
      <c r="L95" s="24">
        <f t="shared" si="17"/>
        <v>0</v>
      </c>
      <c r="M95" s="23">
        <f t="shared" si="18"/>
        <v>0</v>
      </c>
      <c r="N95" s="25">
        <f t="shared" si="19"/>
        <v>0</v>
      </c>
    </row>
    <row r="96" s="2" customFormat="1" spans="1:14">
      <c r="A96" s="11"/>
      <c r="B96" s="11" t="s">
        <v>202</v>
      </c>
      <c r="C96" s="11" t="s">
        <v>220</v>
      </c>
      <c r="D96" s="12" t="s">
        <v>136</v>
      </c>
      <c r="E96" s="13" t="s">
        <v>199</v>
      </c>
      <c r="F96" s="7">
        <v>8.1</v>
      </c>
      <c r="G96" s="12">
        <v>90</v>
      </c>
      <c r="H96" s="14">
        <v>0.08</v>
      </c>
      <c r="I96" s="23">
        <f t="shared" si="20"/>
        <v>97.2</v>
      </c>
      <c r="J96" s="8"/>
      <c r="K96" s="24">
        <f t="shared" si="16"/>
        <v>0</v>
      </c>
      <c r="L96" s="24">
        <f t="shared" si="17"/>
        <v>0</v>
      </c>
      <c r="M96" s="23">
        <f t="shared" si="18"/>
        <v>0</v>
      </c>
      <c r="N96" s="25">
        <f t="shared" si="19"/>
        <v>0</v>
      </c>
    </row>
    <row r="97" s="2" customFormat="1" spans="1:14">
      <c r="A97" s="11"/>
      <c r="B97" s="11" t="s">
        <v>221</v>
      </c>
      <c r="C97" s="11" t="s">
        <v>220</v>
      </c>
      <c r="D97" s="12" t="s">
        <v>136</v>
      </c>
      <c r="E97" s="13" t="s">
        <v>166</v>
      </c>
      <c r="F97" s="7">
        <v>9</v>
      </c>
      <c r="G97" s="12">
        <v>78</v>
      </c>
      <c r="H97" s="14">
        <v>0.08</v>
      </c>
      <c r="I97" s="23">
        <v>79</v>
      </c>
      <c r="J97" s="8"/>
      <c r="K97" s="24">
        <f t="shared" si="16"/>
        <v>0</v>
      </c>
      <c r="L97" s="24">
        <f t="shared" si="17"/>
        <v>0</v>
      </c>
      <c r="M97" s="23">
        <f t="shared" si="18"/>
        <v>0</v>
      </c>
      <c r="N97" s="25">
        <f t="shared" si="19"/>
        <v>0</v>
      </c>
    </row>
    <row r="98" s="2" customFormat="1" spans="1:14">
      <c r="A98" s="11"/>
      <c r="B98" s="29" t="s">
        <v>222</v>
      </c>
      <c r="C98" s="11" t="s">
        <v>220</v>
      </c>
      <c r="D98" s="12" t="s">
        <v>136</v>
      </c>
      <c r="E98" s="30" t="s">
        <v>127</v>
      </c>
      <c r="F98" s="7">
        <v>6.3</v>
      </c>
      <c r="G98" s="12">
        <f>I98-1</f>
        <v>69</v>
      </c>
      <c r="H98" s="14">
        <v>0.08</v>
      </c>
      <c r="I98" s="12">
        <v>70</v>
      </c>
      <c r="J98" s="8"/>
      <c r="K98" s="24">
        <f t="shared" si="16"/>
        <v>0</v>
      </c>
      <c r="L98" s="24">
        <f t="shared" si="17"/>
        <v>0</v>
      </c>
      <c r="M98" s="23">
        <f t="shared" si="18"/>
        <v>0</v>
      </c>
      <c r="N98" s="25">
        <f t="shared" si="19"/>
        <v>0</v>
      </c>
    </row>
    <row r="99" spans="1:14">
      <c r="A99" s="11"/>
      <c r="B99" s="11"/>
      <c r="C99" s="11"/>
      <c r="D99" s="11"/>
      <c r="E99" s="11"/>
      <c r="F99" s="7"/>
      <c r="G99" s="12"/>
      <c r="H99" s="14"/>
      <c r="I99" s="26" t="s">
        <v>223</v>
      </c>
      <c r="J99" s="27"/>
      <c r="K99" s="27"/>
      <c r="L99" s="24">
        <f t="shared" ref="L99:L102" si="21">K99+J99/2</f>
        <v>0</v>
      </c>
      <c r="M99" s="27"/>
      <c r="N99" s="27"/>
    </row>
    <row r="100" spans="1:14">
      <c r="A100" s="11"/>
      <c r="B100" s="9" t="s">
        <v>224</v>
      </c>
      <c r="C100" s="9"/>
      <c r="D100" s="9"/>
      <c r="E100" s="9"/>
      <c r="F100" s="10"/>
      <c r="G100" s="12"/>
      <c r="H100" s="14"/>
      <c r="I100" s="23"/>
      <c r="J100" s="8" t="s">
        <v>225</v>
      </c>
      <c r="K100" s="24"/>
      <c r="L100" s="24">
        <v>0</v>
      </c>
      <c r="M100" s="23"/>
      <c r="N100" s="25">
        <v>0</v>
      </c>
    </row>
    <row r="101" spans="1:14">
      <c r="A101" s="11"/>
      <c r="B101" s="15" t="s">
        <v>226</v>
      </c>
      <c r="C101" s="8" t="s">
        <v>91</v>
      </c>
      <c r="D101" s="12" t="s">
        <v>227</v>
      </c>
      <c r="E101" s="13" t="s">
        <v>199</v>
      </c>
      <c r="F101" s="7">
        <v>4.5</v>
      </c>
      <c r="G101" s="12">
        <v>50.5</v>
      </c>
      <c r="H101" s="14">
        <v>0.08</v>
      </c>
      <c r="I101" s="23">
        <f>G101*(1+H101)</f>
        <v>54.54</v>
      </c>
      <c r="J101" s="8"/>
      <c r="K101" s="24">
        <f>J101*F101</f>
        <v>0</v>
      </c>
      <c r="L101" s="24">
        <f t="shared" si="21"/>
        <v>0</v>
      </c>
      <c r="M101" s="23">
        <f>J101*I101</f>
        <v>0</v>
      </c>
      <c r="N101" s="25">
        <f>M101+J101</f>
        <v>0</v>
      </c>
    </row>
    <row r="102" spans="1:14">
      <c r="A102" s="11"/>
      <c r="B102" s="15" t="s">
        <v>226</v>
      </c>
      <c r="C102" s="11" t="s">
        <v>220</v>
      </c>
      <c r="D102" s="12" t="s">
        <v>227</v>
      </c>
      <c r="E102" s="13" t="s">
        <v>199</v>
      </c>
      <c r="F102" s="7">
        <v>4.5</v>
      </c>
      <c r="G102" s="12">
        <v>50.5</v>
      </c>
      <c r="H102" s="14">
        <v>0.08</v>
      </c>
      <c r="I102" s="23">
        <f>G102*(1+H102)</f>
        <v>54.54</v>
      </c>
      <c r="J102" s="8"/>
      <c r="K102" s="24">
        <f>J102*F102</f>
        <v>0</v>
      </c>
      <c r="L102" s="24">
        <f t="shared" si="21"/>
        <v>0</v>
      </c>
      <c r="M102" s="23">
        <f>J102*I102</f>
        <v>0</v>
      </c>
      <c r="N102" s="25">
        <f>M102+J102</f>
        <v>0</v>
      </c>
    </row>
    <row r="103" spans="1:14">
      <c r="A103" s="11"/>
      <c r="B103" s="11"/>
      <c r="C103" s="11"/>
      <c r="D103" s="11"/>
      <c r="E103" s="11"/>
      <c r="F103" s="7"/>
      <c r="G103" s="12"/>
      <c r="H103" s="14"/>
      <c r="I103" s="26" t="s">
        <v>223</v>
      </c>
      <c r="J103" s="27"/>
      <c r="K103" s="27"/>
      <c r="L103" s="24">
        <f t="shared" ref="L103:L166" si="22">K103+J103/2</f>
        <v>0</v>
      </c>
      <c r="M103" s="27"/>
      <c r="N103" s="27"/>
    </row>
    <row r="104" spans="1:14">
      <c r="A104" s="11"/>
      <c r="B104" s="11"/>
      <c r="C104" s="11"/>
      <c r="D104" s="11"/>
      <c r="E104" s="11"/>
      <c r="F104" s="7"/>
      <c r="G104" s="12"/>
      <c r="H104" s="14"/>
      <c r="I104" s="23"/>
      <c r="J104" s="8"/>
      <c r="K104" s="24"/>
      <c r="L104" s="24">
        <f t="shared" si="22"/>
        <v>0</v>
      </c>
      <c r="M104" s="23"/>
      <c r="N104" s="25"/>
    </row>
    <row r="105" spans="1:14">
      <c r="A105" s="11"/>
      <c r="B105" s="9" t="s">
        <v>228</v>
      </c>
      <c r="C105" s="9"/>
      <c r="D105" s="9"/>
      <c r="E105" s="9"/>
      <c r="F105" s="10"/>
      <c r="G105" s="12"/>
      <c r="H105" s="14"/>
      <c r="I105" s="23"/>
      <c r="J105" s="8"/>
      <c r="K105" s="24"/>
      <c r="L105" s="24">
        <f t="shared" si="22"/>
        <v>0</v>
      </c>
      <c r="M105" s="23"/>
      <c r="N105" s="25">
        <f t="shared" ref="N105:N118" si="23">M105+J105</f>
        <v>0</v>
      </c>
    </row>
    <row r="106" spans="1:14">
      <c r="A106" s="11"/>
      <c r="B106" s="15" t="s">
        <v>229</v>
      </c>
      <c r="C106" s="8" t="s">
        <v>91</v>
      </c>
      <c r="D106" s="12" t="s">
        <v>126</v>
      </c>
      <c r="E106" s="13" t="s">
        <v>199</v>
      </c>
      <c r="F106" s="7">
        <v>4.5</v>
      </c>
      <c r="G106" s="12">
        <v>51</v>
      </c>
      <c r="H106" s="14">
        <v>0.08</v>
      </c>
      <c r="I106" s="23">
        <f t="shared" ref="I106:I118" si="24">G106*(1+H106)</f>
        <v>55.08</v>
      </c>
      <c r="J106" s="8"/>
      <c r="K106" s="24">
        <f t="shared" ref="K106:K118" si="25">J106*F106</f>
        <v>0</v>
      </c>
      <c r="L106" s="24">
        <f t="shared" si="22"/>
        <v>0</v>
      </c>
      <c r="M106" s="23">
        <f t="shared" ref="M106:M118" si="26">J106*I106</f>
        <v>0</v>
      </c>
      <c r="N106" s="25">
        <f t="shared" si="23"/>
        <v>0</v>
      </c>
    </row>
    <row r="107" ht="14" customHeight="1" spans="1:14">
      <c r="A107" s="11"/>
      <c r="B107" s="11" t="s">
        <v>230</v>
      </c>
      <c r="C107" s="8" t="s">
        <v>91</v>
      </c>
      <c r="D107" s="12" t="s">
        <v>126</v>
      </c>
      <c r="E107" s="13" t="s">
        <v>199</v>
      </c>
      <c r="F107" s="7">
        <v>4.5</v>
      </c>
      <c r="G107" s="12">
        <v>54</v>
      </c>
      <c r="H107" s="14">
        <v>0.08</v>
      </c>
      <c r="I107" s="23">
        <f t="shared" si="24"/>
        <v>58.32</v>
      </c>
      <c r="J107" s="8"/>
      <c r="K107" s="24">
        <f t="shared" si="25"/>
        <v>0</v>
      </c>
      <c r="L107" s="24">
        <f t="shared" si="22"/>
        <v>0</v>
      </c>
      <c r="M107" s="23">
        <f t="shared" si="26"/>
        <v>0</v>
      </c>
      <c r="N107" s="25">
        <f t="shared" si="23"/>
        <v>0</v>
      </c>
    </row>
    <row r="108" spans="1:14">
      <c r="A108" s="11"/>
      <c r="B108" s="15" t="s">
        <v>231</v>
      </c>
      <c r="C108" s="8" t="s">
        <v>91</v>
      </c>
      <c r="D108" s="12" t="s">
        <v>126</v>
      </c>
      <c r="E108" s="13" t="s">
        <v>199</v>
      </c>
      <c r="F108" s="7">
        <v>5.5</v>
      </c>
      <c r="G108" s="12">
        <v>61</v>
      </c>
      <c r="H108" s="14">
        <v>0.08</v>
      </c>
      <c r="I108" s="23">
        <f t="shared" si="24"/>
        <v>65.88</v>
      </c>
      <c r="J108" s="8"/>
      <c r="K108" s="24">
        <f t="shared" si="25"/>
        <v>0</v>
      </c>
      <c r="L108" s="24">
        <f t="shared" si="22"/>
        <v>0</v>
      </c>
      <c r="M108" s="23">
        <f t="shared" si="26"/>
        <v>0</v>
      </c>
      <c r="N108" s="25">
        <f t="shared" si="23"/>
        <v>0</v>
      </c>
    </row>
    <row r="109" spans="1:14">
      <c r="A109" s="11"/>
      <c r="B109" s="15" t="s">
        <v>232</v>
      </c>
      <c r="C109" s="8" t="s">
        <v>91</v>
      </c>
      <c r="D109" s="12" t="s">
        <v>126</v>
      </c>
      <c r="E109" s="13" t="s">
        <v>199</v>
      </c>
      <c r="F109" s="7">
        <v>5.5</v>
      </c>
      <c r="G109" s="12">
        <v>64</v>
      </c>
      <c r="H109" s="14">
        <v>0.08</v>
      </c>
      <c r="I109" s="23">
        <f t="shared" si="24"/>
        <v>69.12</v>
      </c>
      <c r="J109" s="8"/>
      <c r="K109" s="24">
        <f t="shared" si="25"/>
        <v>0</v>
      </c>
      <c r="L109" s="24">
        <f t="shared" si="22"/>
        <v>0</v>
      </c>
      <c r="M109" s="23">
        <f t="shared" si="26"/>
        <v>0</v>
      </c>
      <c r="N109" s="25">
        <f t="shared" si="23"/>
        <v>0</v>
      </c>
    </row>
    <row r="110" spans="1:14">
      <c r="A110" s="11"/>
      <c r="B110" s="15" t="s">
        <v>233</v>
      </c>
      <c r="C110" s="8" t="s">
        <v>91</v>
      </c>
      <c r="D110" s="12" t="s">
        <v>126</v>
      </c>
      <c r="E110" s="13" t="s">
        <v>199</v>
      </c>
      <c r="F110" s="7"/>
      <c r="G110" s="12"/>
      <c r="H110" s="14">
        <v>0.08</v>
      </c>
      <c r="I110" s="23"/>
      <c r="J110" s="8"/>
      <c r="K110" s="24">
        <f t="shared" si="25"/>
        <v>0</v>
      </c>
      <c r="L110" s="24">
        <f t="shared" si="22"/>
        <v>0</v>
      </c>
      <c r="M110" s="23">
        <f t="shared" si="26"/>
        <v>0</v>
      </c>
      <c r="N110" s="25">
        <f t="shared" si="23"/>
        <v>0</v>
      </c>
    </row>
    <row r="111" spans="1:14">
      <c r="A111" s="11"/>
      <c r="B111" s="15" t="s">
        <v>234</v>
      </c>
      <c r="C111" s="8" t="s">
        <v>91</v>
      </c>
      <c r="D111" s="12" t="s">
        <v>126</v>
      </c>
      <c r="E111" s="13" t="s">
        <v>199</v>
      </c>
      <c r="F111" s="7">
        <v>6.5</v>
      </c>
      <c r="G111" s="12">
        <v>69</v>
      </c>
      <c r="H111" s="14">
        <v>0.08</v>
      </c>
      <c r="I111" s="23">
        <f t="shared" si="24"/>
        <v>74.52</v>
      </c>
      <c r="J111" s="8"/>
      <c r="K111" s="24">
        <f t="shared" si="25"/>
        <v>0</v>
      </c>
      <c r="L111" s="24">
        <f t="shared" si="22"/>
        <v>0</v>
      </c>
      <c r="M111" s="23">
        <f t="shared" si="26"/>
        <v>0</v>
      </c>
      <c r="N111" s="25">
        <f t="shared" si="23"/>
        <v>0</v>
      </c>
    </row>
    <row r="112" spans="1:14">
      <c r="A112" s="11"/>
      <c r="B112" s="11" t="s">
        <v>235</v>
      </c>
      <c r="C112" s="8" t="s">
        <v>91</v>
      </c>
      <c r="D112" s="12" t="s">
        <v>126</v>
      </c>
      <c r="E112" s="13" t="s">
        <v>199</v>
      </c>
      <c r="F112" s="7">
        <v>6.5</v>
      </c>
      <c r="G112" s="12">
        <v>72</v>
      </c>
      <c r="H112" s="14">
        <v>0.08</v>
      </c>
      <c r="I112" s="23">
        <f t="shared" si="24"/>
        <v>77.76</v>
      </c>
      <c r="J112" s="8"/>
      <c r="K112" s="24">
        <f t="shared" si="25"/>
        <v>0</v>
      </c>
      <c r="L112" s="24">
        <f t="shared" si="22"/>
        <v>0</v>
      </c>
      <c r="M112" s="23">
        <f t="shared" si="26"/>
        <v>0</v>
      </c>
      <c r="N112" s="25">
        <f t="shared" si="23"/>
        <v>0</v>
      </c>
    </row>
    <row r="113" spans="1:14">
      <c r="A113" s="11"/>
      <c r="B113" s="15" t="s">
        <v>236</v>
      </c>
      <c r="C113" s="8" t="s">
        <v>91</v>
      </c>
      <c r="D113" s="12" t="s">
        <v>126</v>
      </c>
      <c r="E113" s="13" t="s">
        <v>199</v>
      </c>
      <c r="F113" s="7">
        <v>8.5</v>
      </c>
      <c r="G113" s="12">
        <v>90</v>
      </c>
      <c r="H113" s="14">
        <v>0.08</v>
      </c>
      <c r="I113" s="23">
        <f t="shared" si="24"/>
        <v>97.2</v>
      </c>
      <c r="J113" s="8"/>
      <c r="K113" s="24">
        <f t="shared" si="25"/>
        <v>0</v>
      </c>
      <c r="L113" s="24">
        <f t="shared" si="22"/>
        <v>0</v>
      </c>
      <c r="M113" s="23">
        <f t="shared" si="26"/>
        <v>0</v>
      </c>
      <c r="N113" s="25">
        <f t="shared" si="23"/>
        <v>0</v>
      </c>
    </row>
    <row r="114" spans="1:14">
      <c r="A114" s="11"/>
      <c r="B114" s="15" t="s">
        <v>237</v>
      </c>
      <c r="C114" s="8" t="s">
        <v>91</v>
      </c>
      <c r="D114" s="12" t="s">
        <v>126</v>
      </c>
      <c r="E114" s="13" t="s">
        <v>199</v>
      </c>
      <c r="F114" s="7">
        <v>8.5</v>
      </c>
      <c r="G114" s="12">
        <v>93</v>
      </c>
      <c r="H114" s="14">
        <v>0.08</v>
      </c>
      <c r="I114" s="23">
        <f t="shared" si="24"/>
        <v>100.44</v>
      </c>
      <c r="J114" s="35"/>
      <c r="K114" s="24">
        <f t="shared" si="25"/>
        <v>0</v>
      </c>
      <c r="L114" s="24">
        <f t="shared" si="22"/>
        <v>0</v>
      </c>
      <c r="M114" s="23">
        <f t="shared" si="26"/>
        <v>0</v>
      </c>
      <c r="N114" s="25">
        <f t="shared" si="23"/>
        <v>0</v>
      </c>
    </row>
    <row r="115" spans="1:14">
      <c r="A115" s="11"/>
      <c r="B115" s="11" t="s">
        <v>238</v>
      </c>
      <c r="C115" s="8" t="s">
        <v>91</v>
      </c>
      <c r="D115" s="12" t="s">
        <v>126</v>
      </c>
      <c r="E115" s="13" t="s">
        <v>129</v>
      </c>
      <c r="F115" s="7"/>
      <c r="G115" s="12"/>
      <c r="H115" s="14">
        <v>0.08</v>
      </c>
      <c r="I115" s="23"/>
      <c r="J115" s="8"/>
      <c r="K115" s="24">
        <f t="shared" si="25"/>
        <v>0</v>
      </c>
      <c r="L115" s="24">
        <f t="shared" si="22"/>
        <v>0</v>
      </c>
      <c r="M115" s="23">
        <f t="shared" si="26"/>
        <v>0</v>
      </c>
      <c r="N115" s="25">
        <f t="shared" si="23"/>
        <v>0</v>
      </c>
    </row>
    <row r="116" spans="1:14">
      <c r="A116" s="11"/>
      <c r="B116" s="15" t="s">
        <v>239</v>
      </c>
      <c r="C116" s="8" t="s">
        <v>91</v>
      </c>
      <c r="D116" s="12" t="s">
        <v>126</v>
      </c>
      <c r="E116" s="13" t="s">
        <v>129</v>
      </c>
      <c r="F116" s="7">
        <v>6.8</v>
      </c>
      <c r="G116" s="12">
        <v>71</v>
      </c>
      <c r="H116" s="14">
        <v>0.08</v>
      </c>
      <c r="I116" s="23">
        <f t="shared" si="24"/>
        <v>76.68</v>
      </c>
      <c r="J116" s="8"/>
      <c r="K116" s="24">
        <f t="shared" si="25"/>
        <v>0</v>
      </c>
      <c r="L116" s="24">
        <f t="shared" si="22"/>
        <v>0</v>
      </c>
      <c r="M116" s="23">
        <f t="shared" si="26"/>
        <v>0</v>
      </c>
      <c r="N116" s="25">
        <f t="shared" si="23"/>
        <v>0</v>
      </c>
    </row>
    <row r="117" spans="1:14">
      <c r="A117" s="11"/>
      <c r="B117" s="15" t="s">
        <v>240</v>
      </c>
      <c r="C117" s="8" t="s">
        <v>91</v>
      </c>
      <c r="D117" s="12" t="s">
        <v>126</v>
      </c>
      <c r="E117" s="13" t="s">
        <v>129</v>
      </c>
      <c r="F117" s="7">
        <v>6.8</v>
      </c>
      <c r="G117" s="12">
        <v>74</v>
      </c>
      <c r="H117" s="14">
        <v>0.08</v>
      </c>
      <c r="I117" s="23">
        <f t="shared" si="24"/>
        <v>79.92</v>
      </c>
      <c r="J117" s="8"/>
      <c r="K117" s="24">
        <f t="shared" si="25"/>
        <v>0</v>
      </c>
      <c r="L117" s="24">
        <f t="shared" si="22"/>
        <v>0</v>
      </c>
      <c r="M117" s="23">
        <f t="shared" si="26"/>
        <v>0</v>
      </c>
      <c r="N117" s="25">
        <f t="shared" si="23"/>
        <v>0</v>
      </c>
    </row>
    <row r="118" spans="1:14">
      <c r="A118" s="11"/>
      <c r="B118" s="11" t="s">
        <v>241</v>
      </c>
      <c r="C118" s="8" t="s">
        <v>91</v>
      </c>
      <c r="D118" s="12" t="s">
        <v>126</v>
      </c>
      <c r="E118" s="13" t="s">
        <v>129</v>
      </c>
      <c r="F118" s="7"/>
      <c r="G118" s="12"/>
      <c r="H118" s="14">
        <v>0.08</v>
      </c>
      <c r="I118" s="23"/>
      <c r="J118" s="8"/>
      <c r="K118" s="24">
        <f t="shared" si="25"/>
        <v>0</v>
      </c>
      <c r="L118" s="24">
        <f t="shared" si="22"/>
        <v>0</v>
      </c>
      <c r="M118" s="23">
        <f t="shared" si="26"/>
        <v>0</v>
      </c>
      <c r="N118" s="25">
        <f t="shared" si="23"/>
        <v>0</v>
      </c>
    </row>
    <row r="119" spans="1:14">
      <c r="A119" s="11"/>
      <c r="B119" s="11"/>
      <c r="C119" s="11"/>
      <c r="D119" s="11"/>
      <c r="E119" s="11"/>
      <c r="F119" s="7"/>
      <c r="G119" s="12"/>
      <c r="H119" s="14"/>
      <c r="I119" s="26" t="s">
        <v>223</v>
      </c>
      <c r="J119" s="27"/>
      <c r="K119" s="27"/>
      <c r="L119" s="24">
        <f t="shared" si="22"/>
        <v>0</v>
      </c>
      <c r="M119" s="27"/>
      <c r="N119" s="27"/>
    </row>
    <row r="120" spans="1:14">
      <c r="A120" s="11"/>
      <c r="F120" s="7"/>
      <c r="G120" s="12"/>
      <c r="H120" s="14"/>
      <c r="I120" s="23"/>
      <c r="J120" s="8"/>
      <c r="K120" s="24"/>
      <c r="L120" s="24">
        <f t="shared" si="22"/>
        <v>0</v>
      </c>
      <c r="M120" s="23"/>
      <c r="N120" s="25">
        <f t="shared" ref="N120:N127" si="27">M120+J120</f>
        <v>0</v>
      </c>
    </row>
    <row r="121" spans="1:14">
      <c r="A121" s="11"/>
      <c r="B121" s="9" t="s">
        <v>242</v>
      </c>
      <c r="C121" s="9"/>
      <c r="D121" s="9"/>
      <c r="E121" s="9"/>
      <c r="F121" s="10"/>
      <c r="G121" s="12"/>
      <c r="H121" s="14"/>
      <c r="I121" s="23"/>
      <c r="J121" s="4"/>
      <c r="K121" s="24"/>
      <c r="L121" s="24">
        <f t="shared" si="22"/>
        <v>0</v>
      </c>
      <c r="M121" s="23"/>
      <c r="N121" s="25">
        <f t="shared" si="27"/>
        <v>0</v>
      </c>
    </row>
    <row r="122" spans="1:14">
      <c r="A122" s="11"/>
      <c r="B122" s="15" t="s">
        <v>243</v>
      </c>
      <c r="C122" s="8" t="s">
        <v>91</v>
      </c>
      <c r="D122" s="12" t="s">
        <v>123</v>
      </c>
      <c r="E122" s="13" t="s">
        <v>199</v>
      </c>
      <c r="F122" s="7">
        <v>2.5</v>
      </c>
      <c r="G122" s="12">
        <v>31.5</v>
      </c>
      <c r="H122" s="14">
        <v>0.08</v>
      </c>
      <c r="I122" s="23">
        <f t="shared" ref="I122:I127" si="28">G122*(1+H122)</f>
        <v>34.02</v>
      </c>
      <c r="J122" s="8"/>
      <c r="K122" s="24">
        <f t="shared" ref="K122:K127" si="29">J122*F122</f>
        <v>0</v>
      </c>
      <c r="L122" s="24">
        <f t="shared" si="22"/>
        <v>0</v>
      </c>
      <c r="M122" s="23">
        <f t="shared" ref="M122:M127" si="30">J122*I122</f>
        <v>0</v>
      </c>
      <c r="N122" s="25">
        <f t="shared" si="27"/>
        <v>0</v>
      </c>
    </row>
    <row r="123" spans="1:14">
      <c r="A123" s="11"/>
      <c r="B123" s="15" t="s">
        <v>244</v>
      </c>
      <c r="C123" s="8" t="s">
        <v>91</v>
      </c>
      <c r="D123" s="12" t="s">
        <v>123</v>
      </c>
      <c r="E123" s="13" t="s">
        <v>199</v>
      </c>
      <c r="F123" s="7">
        <v>3.5</v>
      </c>
      <c r="G123" s="12">
        <v>42.5</v>
      </c>
      <c r="H123" s="14">
        <v>0.08</v>
      </c>
      <c r="I123" s="23">
        <f t="shared" si="28"/>
        <v>45.9</v>
      </c>
      <c r="J123" s="8"/>
      <c r="K123" s="24">
        <f t="shared" si="29"/>
        <v>0</v>
      </c>
      <c r="L123" s="24">
        <f t="shared" si="22"/>
        <v>0</v>
      </c>
      <c r="M123" s="23">
        <f t="shared" si="30"/>
        <v>0</v>
      </c>
      <c r="N123" s="25">
        <f t="shared" si="27"/>
        <v>0</v>
      </c>
    </row>
    <row r="124" spans="1:14">
      <c r="A124" s="11"/>
      <c r="B124" s="15" t="s">
        <v>245</v>
      </c>
      <c r="C124" s="8" t="s">
        <v>91</v>
      </c>
      <c r="D124" s="12" t="s">
        <v>123</v>
      </c>
      <c r="E124" s="13" t="s">
        <v>129</v>
      </c>
      <c r="F124" s="7">
        <v>3.9</v>
      </c>
      <c r="G124" s="12">
        <v>47</v>
      </c>
      <c r="H124" s="14">
        <v>0.08</v>
      </c>
      <c r="I124" s="23">
        <f t="shared" si="28"/>
        <v>50.76</v>
      </c>
      <c r="J124" s="4"/>
      <c r="K124" s="24">
        <f t="shared" si="29"/>
        <v>0</v>
      </c>
      <c r="L124" s="24">
        <f t="shared" si="22"/>
        <v>0</v>
      </c>
      <c r="M124" s="23">
        <f t="shared" si="30"/>
        <v>0</v>
      </c>
      <c r="N124" s="25">
        <f t="shared" si="27"/>
        <v>0</v>
      </c>
    </row>
    <row r="125" spans="2:14">
      <c r="B125" s="15" t="s">
        <v>246</v>
      </c>
      <c r="C125" s="8" t="s">
        <v>91</v>
      </c>
      <c r="D125" s="12" t="s">
        <v>123</v>
      </c>
      <c r="E125" s="11"/>
      <c r="F125" s="7">
        <v>4</v>
      </c>
      <c r="G125" s="12">
        <v>52</v>
      </c>
      <c r="H125" s="32">
        <v>0.095</v>
      </c>
      <c r="I125" s="23">
        <f t="shared" si="28"/>
        <v>56.94</v>
      </c>
      <c r="J125" s="4"/>
      <c r="K125" s="24">
        <f t="shared" si="29"/>
        <v>0</v>
      </c>
      <c r="L125" s="24">
        <f t="shared" si="22"/>
        <v>0</v>
      </c>
      <c r="M125" s="23">
        <f t="shared" si="30"/>
        <v>0</v>
      </c>
      <c r="N125" s="25">
        <f t="shared" si="27"/>
        <v>0</v>
      </c>
    </row>
    <row r="126" spans="2:14">
      <c r="B126" s="11" t="s">
        <v>247</v>
      </c>
      <c r="C126" s="8" t="s">
        <v>91</v>
      </c>
      <c r="D126" s="12" t="s">
        <v>123</v>
      </c>
      <c r="E126" s="11"/>
      <c r="F126" s="7">
        <v>3</v>
      </c>
      <c r="G126" s="12">
        <v>34</v>
      </c>
      <c r="H126" s="32">
        <v>0.095</v>
      </c>
      <c r="I126" s="23">
        <f t="shared" si="28"/>
        <v>37.23</v>
      </c>
      <c r="J126" s="4"/>
      <c r="K126" s="24">
        <f t="shared" si="29"/>
        <v>0</v>
      </c>
      <c r="L126" s="24">
        <f t="shared" si="22"/>
        <v>0</v>
      </c>
      <c r="M126" s="23">
        <f t="shared" si="30"/>
        <v>0</v>
      </c>
      <c r="N126" s="25">
        <f t="shared" si="27"/>
        <v>0</v>
      </c>
    </row>
    <row r="127" s="3" customFormat="1" spans="1:14">
      <c r="A127" s="20"/>
      <c r="B127" s="15" t="s">
        <v>248</v>
      </c>
      <c r="C127" s="8" t="s">
        <v>91</v>
      </c>
      <c r="D127" s="12" t="s">
        <v>123</v>
      </c>
      <c r="E127" s="11"/>
      <c r="F127" s="33">
        <v>2.5</v>
      </c>
      <c r="G127" s="21">
        <v>40.5</v>
      </c>
      <c r="H127" s="34">
        <v>0.1</v>
      </c>
      <c r="I127" s="23">
        <f t="shared" si="28"/>
        <v>44.55</v>
      </c>
      <c r="J127" s="8"/>
      <c r="K127" s="24">
        <f t="shared" si="29"/>
        <v>0</v>
      </c>
      <c r="L127" s="24">
        <f t="shared" si="22"/>
        <v>0</v>
      </c>
      <c r="M127" s="23">
        <f t="shared" si="30"/>
        <v>0</v>
      </c>
      <c r="N127" s="25">
        <f t="shared" si="27"/>
        <v>0</v>
      </c>
    </row>
    <row r="128" spans="2:14">
      <c r="B128" s="11"/>
      <c r="C128" s="11"/>
      <c r="D128" s="11"/>
      <c r="E128" s="11"/>
      <c r="I128" s="36" t="s">
        <v>223</v>
      </c>
      <c r="J128" s="36"/>
      <c r="K128" s="36"/>
      <c r="L128" s="24">
        <f t="shared" si="22"/>
        <v>0</v>
      </c>
      <c r="M128" s="36"/>
      <c r="N128" s="36"/>
    </row>
    <row r="129" spans="2:14">
      <c r="B129" s="9" t="s">
        <v>249</v>
      </c>
      <c r="C129" s="9"/>
      <c r="D129" s="9"/>
      <c r="E129" s="9"/>
      <c r="F129" s="10"/>
      <c r="L129" s="24">
        <f t="shared" si="22"/>
        <v>0</v>
      </c>
      <c r="N129" s="25">
        <f t="shared" ref="N129:N139" si="31">M129+J129</f>
        <v>0</v>
      </c>
    </row>
    <row r="130" spans="1:14">
      <c r="A130" s="11"/>
      <c r="B130" s="15" t="s">
        <v>250</v>
      </c>
      <c r="C130" s="8" t="s">
        <v>91</v>
      </c>
      <c r="D130" s="12" t="s">
        <v>143</v>
      </c>
      <c r="E130" s="13" t="s">
        <v>129</v>
      </c>
      <c r="F130" s="7">
        <v>4</v>
      </c>
      <c r="G130" s="12">
        <v>58</v>
      </c>
      <c r="H130" s="14">
        <v>0.08</v>
      </c>
      <c r="I130" s="23">
        <f>G130*(1+H130)</f>
        <v>62.64</v>
      </c>
      <c r="J130" s="8"/>
      <c r="K130" s="24">
        <f>J130*F130</f>
        <v>0</v>
      </c>
      <c r="L130" s="24">
        <f t="shared" si="22"/>
        <v>0</v>
      </c>
      <c r="M130" s="23">
        <f>J130*I130</f>
        <v>0</v>
      </c>
      <c r="N130" s="25">
        <f t="shared" si="31"/>
        <v>0</v>
      </c>
    </row>
    <row r="131" spans="1:14">
      <c r="A131" s="11"/>
      <c r="B131" s="11" t="s">
        <v>251</v>
      </c>
      <c r="C131" s="8" t="s">
        <v>91</v>
      </c>
      <c r="D131" s="12" t="s">
        <v>143</v>
      </c>
      <c r="E131" s="11"/>
      <c r="F131" s="7">
        <v>3.8</v>
      </c>
      <c r="G131" s="12">
        <v>75</v>
      </c>
      <c r="H131" s="14">
        <v>0.1</v>
      </c>
      <c r="I131" s="23">
        <f>G131*(1+H131)</f>
        <v>82.5</v>
      </c>
      <c r="J131" s="8"/>
      <c r="K131" s="24">
        <f>J131*F131</f>
        <v>0</v>
      </c>
      <c r="L131" s="24">
        <f t="shared" si="22"/>
        <v>0</v>
      </c>
      <c r="M131" s="23">
        <f>J131*I131</f>
        <v>0</v>
      </c>
      <c r="N131" s="25">
        <f t="shared" si="31"/>
        <v>0</v>
      </c>
    </row>
    <row r="132" spans="1:14">
      <c r="A132" s="11"/>
      <c r="B132" s="9" t="s">
        <v>252</v>
      </c>
      <c r="C132" s="9"/>
      <c r="D132" s="9"/>
      <c r="E132" s="9"/>
      <c r="F132" s="10"/>
      <c r="G132" s="12"/>
      <c r="H132" s="14"/>
      <c r="I132" s="23"/>
      <c r="J132" s="8"/>
      <c r="K132" s="24"/>
      <c r="L132" s="24">
        <f t="shared" si="22"/>
        <v>0</v>
      </c>
      <c r="M132" s="23"/>
      <c r="N132" s="25">
        <f t="shared" si="31"/>
        <v>0</v>
      </c>
    </row>
    <row r="133" spans="1:14">
      <c r="A133" s="11"/>
      <c r="B133" s="2" t="s">
        <v>253</v>
      </c>
      <c r="C133" s="8" t="s">
        <v>100</v>
      </c>
      <c r="D133" s="12" t="s">
        <v>254</v>
      </c>
      <c r="E133" s="4">
        <v>1000</v>
      </c>
      <c r="F133" s="7">
        <v>6</v>
      </c>
      <c r="G133" s="12">
        <v>163.5</v>
      </c>
      <c r="H133" s="14">
        <v>0.11</v>
      </c>
      <c r="I133" s="23">
        <f>G133*(1+H133)</f>
        <v>181.485</v>
      </c>
      <c r="J133" s="8"/>
      <c r="K133" s="24">
        <f>J133*F133</f>
        <v>0</v>
      </c>
      <c r="L133" s="24">
        <f t="shared" si="22"/>
        <v>0</v>
      </c>
      <c r="M133" s="23">
        <f>J133*I133</f>
        <v>0</v>
      </c>
      <c r="N133" s="25">
        <f t="shared" si="31"/>
        <v>0</v>
      </c>
    </row>
    <row r="134" spans="1:14">
      <c r="A134" s="11"/>
      <c r="B134" s="4" t="s">
        <v>255</v>
      </c>
      <c r="C134" s="8" t="s">
        <v>100</v>
      </c>
      <c r="D134" s="12" t="s">
        <v>254</v>
      </c>
      <c r="E134" s="4">
        <v>1000</v>
      </c>
      <c r="F134" s="7">
        <v>3.5</v>
      </c>
      <c r="G134" s="12">
        <v>159.1</v>
      </c>
      <c r="H134" s="14">
        <v>0.11</v>
      </c>
      <c r="I134" s="23">
        <f>G134*(1+H134)</f>
        <v>176.601</v>
      </c>
      <c r="J134" s="8"/>
      <c r="K134" s="24">
        <f>J134*F134</f>
        <v>0</v>
      </c>
      <c r="L134" s="24">
        <f t="shared" si="22"/>
        <v>0</v>
      </c>
      <c r="M134" s="23">
        <f>J134*I134</f>
        <v>0</v>
      </c>
      <c r="N134" s="25">
        <f t="shared" si="31"/>
        <v>0</v>
      </c>
    </row>
    <row r="135" spans="1:14">
      <c r="A135" s="11"/>
      <c r="B135" s="2" t="s">
        <v>256</v>
      </c>
      <c r="C135" s="8" t="s">
        <v>100</v>
      </c>
      <c r="D135" s="12" t="s">
        <v>254</v>
      </c>
      <c r="E135" s="4">
        <v>1000</v>
      </c>
      <c r="F135" s="7">
        <v>3.5</v>
      </c>
      <c r="G135" s="12">
        <v>124.7</v>
      </c>
      <c r="H135" s="14">
        <v>0.11</v>
      </c>
      <c r="I135" s="23">
        <f>G135*(1+H135)</f>
        <v>138.417</v>
      </c>
      <c r="J135" s="8"/>
      <c r="K135" s="24">
        <f>J135*F135</f>
        <v>0</v>
      </c>
      <c r="L135" s="24">
        <f t="shared" si="22"/>
        <v>0</v>
      </c>
      <c r="M135" s="23">
        <f>J135*I135</f>
        <v>0</v>
      </c>
      <c r="N135" s="25">
        <f t="shared" si="31"/>
        <v>0</v>
      </c>
    </row>
    <row r="136" spans="1:14">
      <c r="A136" s="11"/>
      <c r="B136" s="4" t="s">
        <v>257</v>
      </c>
      <c r="C136" s="8" t="s">
        <v>100</v>
      </c>
      <c r="D136" s="12" t="s">
        <v>254</v>
      </c>
      <c r="E136" s="4">
        <v>1000</v>
      </c>
      <c r="F136" s="7">
        <v>3.5</v>
      </c>
      <c r="G136" s="12">
        <v>93.5</v>
      </c>
      <c r="H136" s="14">
        <v>0.11</v>
      </c>
      <c r="I136" s="23">
        <f>G136*(1+H136)</f>
        <v>103.785</v>
      </c>
      <c r="J136" s="8"/>
      <c r="K136" s="24">
        <f>J136*F136</f>
        <v>0</v>
      </c>
      <c r="L136" s="24">
        <f t="shared" si="22"/>
        <v>0</v>
      </c>
      <c r="M136" s="23">
        <f>J136*I136</f>
        <v>0</v>
      </c>
      <c r="N136" s="25">
        <f t="shared" si="31"/>
        <v>0</v>
      </c>
    </row>
    <row r="137" spans="1:14">
      <c r="A137" s="11"/>
      <c r="B137" s="9" t="s">
        <v>258</v>
      </c>
      <c r="C137" s="9"/>
      <c r="D137" s="9"/>
      <c r="E137" s="9"/>
      <c r="F137" s="10"/>
      <c r="G137" s="12"/>
      <c r="H137" s="14"/>
      <c r="I137" s="23"/>
      <c r="J137" s="8"/>
      <c r="K137" s="24"/>
      <c r="L137" s="24">
        <f t="shared" si="22"/>
        <v>0</v>
      </c>
      <c r="M137" s="23"/>
      <c r="N137" s="25">
        <f t="shared" si="31"/>
        <v>0</v>
      </c>
    </row>
    <row r="138" spans="1:14">
      <c r="A138" s="13" t="s">
        <v>259</v>
      </c>
      <c r="B138" s="11" t="s">
        <v>260</v>
      </c>
      <c r="C138" s="8" t="s">
        <v>101</v>
      </c>
      <c r="D138" s="12" t="s">
        <v>261</v>
      </c>
      <c r="E138" s="13" t="s">
        <v>262</v>
      </c>
      <c r="F138" s="7">
        <v>8</v>
      </c>
      <c r="G138" s="12">
        <f t="shared" ref="G138:G145" si="32">I138/(1+H138)</f>
        <v>123.893805309735</v>
      </c>
      <c r="H138" s="14">
        <v>0.13</v>
      </c>
      <c r="I138" s="23">
        <v>140</v>
      </c>
      <c r="J138" s="8"/>
      <c r="K138" s="24">
        <f>J138*F138</f>
        <v>0</v>
      </c>
      <c r="L138" s="24">
        <f t="shared" si="22"/>
        <v>0</v>
      </c>
      <c r="M138" s="23">
        <f>J138*I138</f>
        <v>0</v>
      </c>
      <c r="N138" s="25">
        <f t="shared" si="31"/>
        <v>0</v>
      </c>
    </row>
    <row r="139" spans="1:14">
      <c r="A139" s="13" t="s">
        <v>259</v>
      </c>
      <c r="B139" s="13" t="s">
        <v>263</v>
      </c>
      <c r="C139" s="8" t="s">
        <v>101</v>
      </c>
      <c r="D139" s="12" t="s">
        <v>261</v>
      </c>
      <c r="E139" s="13" t="s">
        <v>199</v>
      </c>
      <c r="F139" s="7">
        <v>10.5</v>
      </c>
      <c r="G139" s="12">
        <f t="shared" si="32"/>
        <v>153.752212389381</v>
      </c>
      <c r="H139" s="14">
        <v>0.13</v>
      </c>
      <c r="I139" s="23">
        <v>173.74</v>
      </c>
      <c r="J139" s="8"/>
      <c r="K139" s="24">
        <f>J139*F139</f>
        <v>0</v>
      </c>
      <c r="L139" s="24">
        <f t="shared" si="22"/>
        <v>0</v>
      </c>
      <c r="M139" s="23">
        <f>J139*I139</f>
        <v>0</v>
      </c>
      <c r="N139" s="25">
        <f t="shared" si="31"/>
        <v>0</v>
      </c>
    </row>
    <row r="140" spans="1:14">
      <c r="A140" s="13" t="s">
        <v>259</v>
      </c>
      <c r="B140" s="13" t="s">
        <v>264</v>
      </c>
      <c r="C140" s="8" t="s">
        <v>101</v>
      </c>
      <c r="D140" s="12" t="s">
        <v>265</v>
      </c>
      <c r="E140" s="13" t="s">
        <v>119</v>
      </c>
      <c r="F140" s="7">
        <v>6</v>
      </c>
      <c r="G140" s="12">
        <f t="shared" si="32"/>
        <v>176.991150442478</v>
      </c>
      <c r="H140" s="14">
        <v>0.13</v>
      </c>
      <c r="I140" s="23">
        <v>200</v>
      </c>
      <c r="J140" s="8"/>
      <c r="K140" s="24">
        <f t="shared" ref="K140:K145" si="33">J140*F140</f>
        <v>0</v>
      </c>
      <c r="L140" s="24">
        <f t="shared" si="22"/>
        <v>0</v>
      </c>
      <c r="M140" s="23">
        <f t="shared" ref="M140:M145" si="34">J140*I140</f>
        <v>0</v>
      </c>
      <c r="N140" s="25">
        <f t="shared" ref="N140:N145" si="35">M140+J140</f>
        <v>0</v>
      </c>
    </row>
    <row r="141" spans="1:14">
      <c r="A141" s="13" t="s">
        <v>259</v>
      </c>
      <c r="B141" s="13" t="s">
        <v>266</v>
      </c>
      <c r="C141" s="8" t="s">
        <v>101</v>
      </c>
      <c r="D141" s="12" t="s">
        <v>267</v>
      </c>
      <c r="E141" s="13" t="s">
        <v>119</v>
      </c>
      <c r="F141" s="7">
        <v>4</v>
      </c>
      <c r="G141" s="12">
        <f t="shared" si="32"/>
        <v>123.893805309735</v>
      </c>
      <c r="H141" s="14">
        <v>0.13</v>
      </c>
      <c r="I141" s="23">
        <v>140</v>
      </c>
      <c r="J141" s="8"/>
      <c r="K141" s="24">
        <f t="shared" si="33"/>
        <v>0</v>
      </c>
      <c r="L141" s="24">
        <f t="shared" si="22"/>
        <v>0</v>
      </c>
      <c r="M141" s="23">
        <f t="shared" si="34"/>
        <v>0</v>
      </c>
      <c r="N141" s="25">
        <f t="shared" si="35"/>
        <v>0</v>
      </c>
    </row>
    <row r="142" spans="1:14">
      <c r="A142" s="13" t="s">
        <v>259</v>
      </c>
      <c r="B142" s="13" t="s">
        <v>268</v>
      </c>
      <c r="C142" s="8" t="s">
        <v>101</v>
      </c>
      <c r="D142" s="12" t="s">
        <v>265</v>
      </c>
      <c r="E142" s="13" t="s">
        <v>119</v>
      </c>
      <c r="F142" s="7">
        <v>8</v>
      </c>
      <c r="G142" s="12">
        <f t="shared" si="32"/>
        <v>230.088495575221</v>
      </c>
      <c r="H142" s="14">
        <v>0.13</v>
      </c>
      <c r="I142" s="23">
        <v>260</v>
      </c>
      <c r="J142" s="8"/>
      <c r="K142" s="24">
        <f t="shared" si="33"/>
        <v>0</v>
      </c>
      <c r="L142" s="24">
        <f t="shared" si="22"/>
        <v>0</v>
      </c>
      <c r="M142" s="23">
        <f t="shared" si="34"/>
        <v>0</v>
      </c>
      <c r="N142" s="25">
        <f t="shared" si="35"/>
        <v>0</v>
      </c>
    </row>
    <row r="143" spans="1:14">
      <c r="A143" s="13" t="s">
        <v>259</v>
      </c>
      <c r="B143" s="13" t="s">
        <v>269</v>
      </c>
      <c r="C143" s="8" t="s">
        <v>101</v>
      </c>
      <c r="D143" s="12" t="s">
        <v>261</v>
      </c>
      <c r="E143" s="13" t="s">
        <v>199</v>
      </c>
      <c r="F143" s="7">
        <v>8</v>
      </c>
      <c r="G143" s="12">
        <f t="shared" si="32"/>
        <v>115.929203539823</v>
      </c>
      <c r="H143" s="14">
        <v>0.13</v>
      </c>
      <c r="I143" s="23">
        <v>131</v>
      </c>
      <c r="J143" s="8"/>
      <c r="K143" s="24">
        <f t="shared" si="33"/>
        <v>0</v>
      </c>
      <c r="L143" s="24">
        <f t="shared" si="22"/>
        <v>0</v>
      </c>
      <c r="M143" s="23">
        <f t="shared" si="34"/>
        <v>0</v>
      </c>
      <c r="N143" s="25">
        <f t="shared" si="35"/>
        <v>0</v>
      </c>
    </row>
    <row r="144" spans="1:14">
      <c r="A144" s="13" t="s">
        <v>259</v>
      </c>
      <c r="B144" s="13" t="s">
        <v>270</v>
      </c>
      <c r="C144" s="8" t="s">
        <v>101</v>
      </c>
      <c r="D144" s="12" t="s">
        <v>267</v>
      </c>
      <c r="E144" s="13" t="s">
        <v>119</v>
      </c>
      <c r="F144" s="7">
        <v>6</v>
      </c>
      <c r="G144" s="12">
        <f t="shared" si="32"/>
        <v>88.495575221239</v>
      </c>
      <c r="H144" s="14">
        <v>0.13</v>
      </c>
      <c r="I144" s="23">
        <v>100</v>
      </c>
      <c r="J144" s="8"/>
      <c r="K144" s="24">
        <f t="shared" si="33"/>
        <v>0</v>
      </c>
      <c r="L144" s="24">
        <f t="shared" si="22"/>
        <v>0</v>
      </c>
      <c r="M144" s="23">
        <f t="shared" si="34"/>
        <v>0</v>
      </c>
      <c r="N144" s="25">
        <f t="shared" si="35"/>
        <v>0</v>
      </c>
    </row>
    <row r="145" s="3" customFormat="1" spans="1:14">
      <c r="A145" s="13" t="s">
        <v>259</v>
      </c>
      <c r="B145" s="15" t="s">
        <v>271</v>
      </c>
      <c r="C145" s="8" t="s">
        <v>272</v>
      </c>
      <c r="D145" s="12" t="s">
        <v>261</v>
      </c>
      <c r="E145" s="13" t="s">
        <v>262</v>
      </c>
      <c r="F145" s="7">
        <v>6</v>
      </c>
      <c r="G145" s="12">
        <f>I145-1</f>
        <v>107</v>
      </c>
      <c r="H145" s="14">
        <v>0.13</v>
      </c>
      <c r="I145" s="23">
        <v>108</v>
      </c>
      <c r="J145" s="8"/>
      <c r="K145" s="24">
        <f t="shared" si="33"/>
        <v>0</v>
      </c>
      <c r="L145" s="24">
        <f t="shared" si="22"/>
        <v>0</v>
      </c>
      <c r="M145" s="23">
        <f t="shared" si="34"/>
        <v>0</v>
      </c>
      <c r="N145" s="25">
        <f t="shared" si="35"/>
        <v>0</v>
      </c>
    </row>
    <row r="146" spans="1:14">
      <c r="A146" s="13"/>
      <c r="B146" s="13" t="s">
        <v>273</v>
      </c>
      <c r="C146" s="8" t="s">
        <v>274</v>
      </c>
      <c r="D146" s="12" t="s">
        <v>261</v>
      </c>
      <c r="E146" s="13" t="s">
        <v>262</v>
      </c>
      <c r="F146" s="7">
        <v>7</v>
      </c>
      <c r="G146" s="12">
        <f>I146/(1+H146)</f>
        <v>129.203539823009</v>
      </c>
      <c r="H146" s="14">
        <v>0.13</v>
      </c>
      <c r="I146" s="23">
        <v>146</v>
      </c>
      <c r="J146" s="8"/>
      <c r="K146" s="24">
        <f t="shared" ref="K146:K149" si="36">J146*F146</f>
        <v>0</v>
      </c>
      <c r="L146" s="24">
        <f t="shared" si="22"/>
        <v>0</v>
      </c>
      <c r="M146" s="23">
        <f t="shared" ref="M146:M149" si="37">J146*I146</f>
        <v>0</v>
      </c>
      <c r="N146" s="25">
        <f t="shared" ref="N146:N149" si="38">M146+J146</f>
        <v>0</v>
      </c>
    </row>
    <row r="147" spans="1:14">
      <c r="A147" s="11"/>
      <c r="B147" s="11" t="s">
        <v>275</v>
      </c>
      <c r="C147" s="8" t="s">
        <v>274</v>
      </c>
      <c r="D147" s="12" t="s">
        <v>261</v>
      </c>
      <c r="E147" s="13" t="s">
        <v>262</v>
      </c>
      <c r="F147" s="7">
        <v>9.5</v>
      </c>
      <c r="G147" s="12">
        <v>140</v>
      </c>
      <c r="H147" s="14">
        <v>0.13</v>
      </c>
      <c r="I147" s="23">
        <f>G147*(1+H147)</f>
        <v>158.2</v>
      </c>
      <c r="J147" s="8"/>
      <c r="K147" s="24">
        <f t="shared" si="36"/>
        <v>0</v>
      </c>
      <c r="L147" s="24">
        <f t="shared" si="22"/>
        <v>0</v>
      </c>
      <c r="M147" s="23">
        <f t="shared" si="37"/>
        <v>0</v>
      </c>
      <c r="N147" s="25">
        <f t="shared" si="38"/>
        <v>0</v>
      </c>
    </row>
    <row r="148" s="3" customFormat="1" spans="1:14">
      <c r="A148" s="20"/>
      <c r="B148" s="11" t="s">
        <v>276</v>
      </c>
      <c r="C148" s="8" t="s">
        <v>274</v>
      </c>
      <c r="D148" s="12" t="s">
        <v>261</v>
      </c>
      <c r="E148" s="13" t="s">
        <v>199</v>
      </c>
      <c r="F148" s="33">
        <v>7.5</v>
      </c>
      <c r="G148" s="12">
        <f>I148/(1+H148)</f>
        <v>103.371681415929</v>
      </c>
      <c r="H148" s="34">
        <v>0.13</v>
      </c>
      <c r="I148" s="42">
        <v>116.81</v>
      </c>
      <c r="J148" s="33"/>
      <c r="K148" s="43">
        <f t="shared" si="36"/>
        <v>0</v>
      </c>
      <c r="L148" s="24">
        <f t="shared" si="22"/>
        <v>0</v>
      </c>
      <c r="M148" s="42">
        <f t="shared" si="37"/>
        <v>0</v>
      </c>
      <c r="N148" s="25">
        <f t="shared" si="38"/>
        <v>0</v>
      </c>
    </row>
    <row r="149" s="3" customFormat="1" spans="1:14">
      <c r="A149" s="20"/>
      <c r="B149" s="11" t="s">
        <v>263</v>
      </c>
      <c r="C149" s="8" t="s">
        <v>274</v>
      </c>
      <c r="D149" s="12" t="s">
        <v>261</v>
      </c>
      <c r="E149" s="13" t="s">
        <v>199</v>
      </c>
      <c r="F149" s="7">
        <v>10.5</v>
      </c>
      <c r="G149" s="12">
        <f>I149-1</f>
        <v>177.2</v>
      </c>
      <c r="H149" s="14">
        <v>0.13</v>
      </c>
      <c r="I149" s="23">
        <v>178.2</v>
      </c>
      <c r="J149" s="8"/>
      <c r="K149" s="43">
        <f t="shared" si="36"/>
        <v>0</v>
      </c>
      <c r="L149" s="24">
        <f t="shared" si="22"/>
        <v>0</v>
      </c>
      <c r="M149" s="42">
        <f t="shared" si="37"/>
        <v>0</v>
      </c>
      <c r="N149" s="25">
        <f t="shared" si="38"/>
        <v>0</v>
      </c>
    </row>
    <row r="150" s="3" customFormat="1" ht="11" customHeight="1" spans="1:14">
      <c r="A150" s="20"/>
      <c r="B150" s="13" t="s">
        <v>277</v>
      </c>
      <c r="C150" s="11" t="s">
        <v>278</v>
      </c>
      <c r="D150" s="12" t="s">
        <v>267</v>
      </c>
      <c r="E150" s="13" t="s">
        <v>262</v>
      </c>
      <c r="F150" s="33">
        <v>4.5</v>
      </c>
      <c r="G150" s="12">
        <f>I150/(1+H150)</f>
        <v>132.743362831858</v>
      </c>
      <c r="H150" s="34">
        <v>0.13</v>
      </c>
      <c r="I150" s="42">
        <v>150</v>
      </c>
      <c r="J150" s="33"/>
      <c r="K150" s="43">
        <f t="shared" ref="K150:K164" si="39">J150*F150</f>
        <v>0</v>
      </c>
      <c r="L150" s="24">
        <f>K150+J150/2</f>
        <v>0</v>
      </c>
      <c r="M150" s="42">
        <f t="shared" ref="M150:M164" si="40">J150*I150</f>
        <v>0</v>
      </c>
      <c r="N150" s="25">
        <f t="shared" ref="N150:N169" si="41">M150+J150</f>
        <v>0</v>
      </c>
    </row>
    <row r="151" s="3" customFormat="1" spans="1:14">
      <c r="A151" s="20"/>
      <c r="B151" s="13" t="s">
        <v>264</v>
      </c>
      <c r="C151" s="8" t="s">
        <v>96</v>
      </c>
      <c r="D151" s="12" t="s">
        <v>267</v>
      </c>
      <c r="E151" s="13" t="s">
        <v>119</v>
      </c>
      <c r="F151" s="33">
        <v>6</v>
      </c>
      <c r="G151" s="12">
        <v>145</v>
      </c>
      <c r="H151" s="34">
        <v>0.13</v>
      </c>
      <c r="I151" s="23">
        <f>G151*(1+H151)</f>
        <v>163.85</v>
      </c>
      <c r="J151" s="33"/>
      <c r="K151" s="43">
        <f t="shared" si="39"/>
        <v>0</v>
      </c>
      <c r="L151" s="24">
        <f>K151+J151/2</f>
        <v>0</v>
      </c>
      <c r="M151" s="42">
        <f t="shared" si="40"/>
        <v>0</v>
      </c>
      <c r="N151" s="25">
        <f t="shared" si="41"/>
        <v>0</v>
      </c>
    </row>
    <row r="152" s="3" customFormat="1" spans="1:14">
      <c r="A152" s="20"/>
      <c r="B152" s="13" t="s">
        <v>279</v>
      </c>
      <c r="C152" s="8" t="s">
        <v>96</v>
      </c>
      <c r="D152" s="12" t="s">
        <v>267</v>
      </c>
      <c r="E152" s="13" t="s">
        <v>119</v>
      </c>
      <c r="F152" s="33">
        <v>4</v>
      </c>
      <c r="G152" s="12">
        <v>101</v>
      </c>
      <c r="H152" s="34">
        <v>0.13</v>
      </c>
      <c r="I152" s="23">
        <f>G152*(1+H152)</f>
        <v>114.13</v>
      </c>
      <c r="J152" s="33"/>
      <c r="K152" s="43">
        <f t="shared" si="39"/>
        <v>0</v>
      </c>
      <c r="L152" s="24">
        <f>K152+J152/2</f>
        <v>0</v>
      </c>
      <c r="M152" s="42">
        <f t="shared" si="40"/>
        <v>0</v>
      </c>
      <c r="N152" s="25">
        <f t="shared" si="41"/>
        <v>0</v>
      </c>
    </row>
    <row r="153" s="3" customFormat="1" spans="1:14">
      <c r="A153" s="20"/>
      <c r="B153" s="11" t="s">
        <v>280</v>
      </c>
      <c r="C153" s="8" t="s">
        <v>96</v>
      </c>
      <c r="D153" s="12" t="s">
        <v>265</v>
      </c>
      <c r="E153" s="13" t="s">
        <v>119</v>
      </c>
      <c r="F153" s="33">
        <v>4</v>
      </c>
      <c r="G153" s="21">
        <v>115</v>
      </c>
      <c r="H153" s="34">
        <v>0.08</v>
      </c>
      <c r="I153" s="23">
        <f>G153*(1+H153)</f>
        <v>124.2</v>
      </c>
      <c r="J153" s="8"/>
      <c r="K153" s="24">
        <f t="shared" si="39"/>
        <v>0</v>
      </c>
      <c r="L153" s="24">
        <f>K153+J153/2</f>
        <v>0</v>
      </c>
      <c r="M153" s="23">
        <f t="shared" si="40"/>
        <v>0</v>
      </c>
      <c r="N153" s="25">
        <f t="shared" si="41"/>
        <v>0</v>
      </c>
    </row>
    <row r="154" s="3" customFormat="1" spans="1:15">
      <c r="A154" s="13"/>
      <c r="B154" s="13" t="s">
        <v>266</v>
      </c>
      <c r="C154" s="8" t="s">
        <v>96</v>
      </c>
      <c r="D154" s="12" t="s">
        <v>267</v>
      </c>
      <c r="E154" s="13" t="s">
        <v>119</v>
      </c>
      <c r="F154" s="7">
        <v>4</v>
      </c>
      <c r="G154" s="12">
        <f>I154/(1+H154)</f>
        <v>123.893805309735</v>
      </c>
      <c r="H154" s="14">
        <v>0.13</v>
      </c>
      <c r="I154" s="23">
        <v>140</v>
      </c>
      <c r="J154" s="8"/>
      <c r="K154" s="24">
        <f t="shared" si="39"/>
        <v>0</v>
      </c>
      <c r="L154" s="24">
        <f>K154+J154/2</f>
        <v>0</v>
      </c>
      <c r="M154" s="23">
        <f t="shared" si="40"/>
        <v>0</v>
      </c>
      <c r="N154" s="25">
        <f t="shared" si="41"/>
        <v>0</v>
      </c>
      <c r="O154" s="2"/>
    </row>
    <row r="155" s="3" customFormat="1" spans="1:14">
      <c r="A155" s="20"/>
      <c r="B155" s="11" t="s">
        <v>281</v>
      </c>
      <c r="C155" s="8" t="s">
        <v>282</v>
      </c>
      <c r="D155" s="12" t="s">
        <v>283</v>
      </c>
      <c r="E155" s="13"/>
      <c r="F155" s="33">
        <v>11</v>
      </c>
      <c r="G155" s="21">
        <f>I155-1</f>
        <v>177.5</v>
      </c>
      <c r="H155" s="34"/>
      <c r="I155" s="23">
        <v>178.5</v>
      </c>
      <c r="J155" s="8"/>
      <c r="K155" s="24">
        <f t="shared" si="39"/>
        <v>0</v>
      </c>
      <c r="L155" s="24">
        <f>K155+J155/2</f>
        <v>0</v>
      </c>
      <c r="M155" s="23">
        <f t="shared" si="40"/>
        <v>0</v>
      </c>
      <c r="N155" s="25">
        <f t="shared" si="41"/>
        <v>0</v>
      </c>
    </row>
    <row r="156" s="3" customFormat="1" spans="1:14">
      <c r="A156" s="20"/>
      <c r="B156" s="11" t="s">
        <v>284</v>
      </c>
      <c r="C156" s="8" t="s">
        <v>282</v>
      </c>
      <c r="D156" s="12" t="s">
        <v>285</v>
      </c>
      <c r="E156" s="13"/>
      <c r="F156" s="33">
        <v>8</v>
      </c>
      <c r="G156" s="21">
        <f>I156-1</f>
        <v>127.5</v>
      </c>
      <c r="H156" s="34"/>
      <c r="I156" s="23">
        <v>128.5</v>
      </c>
      <c r="J156" s="8"/>
      <c r="K156" s="24">
        <f t="shared" si="39"/>
        <v>0</v>
      </c>
      <c r="L156" s="24">
        <f>K156+J156/2</f>
        <v>0</v>
      </c>
      <c r="M156" s="23">
        <f t="shared" si="40"/>
        <v>0</v>
      </c>
      <c r="N156" s="25">
        <f t="shared" si="41"/>
        <v>0</v>
      </c>
    </row>
    <row r="157" s="3" customFormat="1" spans="1:14">
      <c r="A157" s="13"/>
      <c r="B157" s="13" t="s">
        <v>264</v>
      </c>
      <c r="C157" s="8" t="s">
        <v>272</v>
      </c>
      <c r="D157" s="12" t="s">
        <v>265</v>
      </c>
      <c r="E157" s="13" t="s">
        <v>119</v>
      </c>
      <c r="F157" s="7">
        <v>6</v>
      </c>
      <c r="G157" s="12">
        <f>I157/(1+H157)</f>
        <v>176.991150442478</v>
      </c>
      <c r="H157" s="14">
        <v>0.13</v>
      </c>
      <c r="I157" s="23">
        <v>200</v>
      </c>
      <c r="J157" s="8"/>
      <c r="K157" s="24">
        <f t="shared" si="39"/>
        <v>0</v>
      </c>
      <c r="L157" s="24">
        <f>K157+J157/2</f>
        <v>0</v>
      </c>
      <c r="M157" s="23">
        <f t="shared" si="40"/>
        <v>0</v>
      </c>
      <c r="N157" s="25">
        <f t="shared" si="41"/>
        <v>0</v>
      </c>
    </row>
    <row r="158" s="3" customFormat="1" spans="1:14">
      <c r="A158" s="13"/>
      <c r="B158" s="13" t="s">
        <v>266</v>
      </c>
      <c r="C158" s="8" t="s">
        <v>272</v>
      </c>
      <c r="D158" s="12" t="s">
        <v>267</v>
      </c>
      <c r="E158" s="13" t="s">
        <v>119</v>
      </c>
      <c r="F158" s="7">
        <v>4</v>
      </c>
      <c r="G158" s="12">
        <f>I158/(1+H158)</f>
        <v>123.893805309735</v>
      </c>
      <c r="H158" s="14">
        <v>0.13</v>
      </c>
      <c r="I158" s="23">
        <v>140</v>
      </c>
      <c r="J158" s="8"/>
      <c r="K158" s="24">
        <f t="shared" si="39"/>
        <v>0</v>
      </c>
      <c r="L158" s="24">
        <f>K158+J158/2</f>
        <v>0</v>
      </c>
      <c r="M158" s="23">
        <f t="shared" si="40"/>
        <v>0</v>
      </c>
      <c r="N158" s="25">
        <f t="shared" si="41"/>
        <v>0</v>
      </c>
    </row>
    <row r="159" s="3" customFormat="1" ht="13" customHeight="1" spans="1:14">
      <c r="A159" s="20"/>
      <c r="B159" s="11" t="s">
        <v>280</v>
      </c>
      <c r="C159" s="8" t="s">
        <v>272</v>
      </c>
      <c r="D159" s="12" t="s">
        <v>265</v>
      </c>
      <c r="E159" s="13" t="s">
        <v>119</v>
      </c>
      <c r="F159" s="7">
        <v>4</v>
      </c>
      <c r="G159" s="12">
        <v>115</v>
      </c>
      <c r="H159" s="14">
        <v>0.08</v>
      </c>
      <c r="I159" s="23">
        <f>G159*(1+H159)</f>
        <v>124.2</v>
      </c>
      <c r="J159" s="8"/>
      <c r="K159" s="24">
        <f t="shared" si="39"/>
        <v>0</v>
      </c>
      <c r="L159" s="24">
        <f>K159+J159/2</f>
        <v>0</v>
      </c>
      <c r="M159" s="23">
        <f t="shared" si="40"/>
        <v>0</v>
      </c>
      <c r="N159" s="25">
        <f t="shared" si="41"/>
        <v>0</v>
      </c>
    </row>
    <row r="160" s="3" customFormat="1" spans="1:14">
      <c r="A160" s="20"/>
      <c r="B160" s="15" t="s">
        <v>271</v>
      </c>
      <c r="C160" s="8" t="s">
        <v>272</v>
      </c>
      <c r="D160" s="12" t="s">
        <v>261</v>
      </c>
      <c r="E160" s="13" t="s">
        <v>262</v>
      </c>
      <c r="F160" s="7">
        <v>6</v>
      </c>
      <c r="G160" s="12">
        <f>I160-1</f>
        <v>107</v>
      </c>
      <c r="H160" s="14">
        <v>0.13</v>
      </c>
      <c r="I160" s="23">
        <v>108</v>
      </c>
      <c r="J160" s="8"/>
      <c r="K160" s="24">
        <f t="shared" si="39"/>
        <v>0</v>
      </c>
      <c r="L160" s="24">
        <f>K160+J160/2</f>
        <v>0</v>
      </c>
      <c r="M160" s="23">
        <f t="shared" si="40"/>
        <v>0</v>
      </c>
      <c r="N160" s="25">
        <f t="shared" si="41"/>
        <v>0</v>
      </c>
    </row>
    <row r="161" s="3" customFormat="1" spans="1:14">
      <c r="A161" s="20"/>
      <c r="B161" s="11" t="s">
        <v>276</v>
      </c>
      <c r="C161" s="8" t="s">
        <v>272</v>
      </c>
      <c r="D161" s="12" t="s">
        <v>261</v>
      </c>
      <c r="E161" s="13" t="s">
        <v>199</v>
      </c>
      <c r="F161" s="7">
        <v>7.5</v>
      </c>
      <c r="G161" s="12">
        <f>I161-1</f>
        <v>134</v>
      </c>
      <c r="H161" s="14">
        <v>0.13</v>
      </c>
      <c r="I161" s="44">
        <v>135</v>
      </c>
      <c r="J161" s="33"/>
      <c r="K161" s="43">
        <f t="shared" si="39"/>
        <v>0</v>
      </c>
      <c r="L161" s="24">
        <f>K161+J161/2</f>
        <v>0</v>
      </c>
      <c r="M161" s="42">
        <f t="shared" si="40"/>
        <v>0</v>
      </c>
      <c r="N161" s="25">
        <f t="shared" si="41"/>
        <v>0</v>
      </c>
    </row>
    <row r="162" s="3" customFormat="1" spans="1:14">
      <c r="A162" s="11"/>
      <c r="B162" s="15" t="s">
        <v>275</v>
      </c>
      <c r="C162" s="8" t="s">
        <v>101</v>
      </c>
      <c r="D162" s="12" t="s">
        <v>261</v>
      </c>
      <c r="E162" s="13" t="s">
        <v>262</v>
      </c>
      <c r="F162" s="7">
        <v>8</v>
      </c>
      <c r="G162" s="12">
        <f>I162-1</f>
        <v>150.2</v>
      </c>
      <c r="H162" s="14">
        <v>0.13</v>
      </c>
      <c r="I162" s="23">
        <v>151.2</v>
      </c>
      <c r="J162" s="8"/>
      <c r="K162" s="24">
        <f t="shared" si="39"/>
        <v>0</v>
      </c>
      <c r="L162" s="24">
        <f>K162+J162/2</f>
        <v>0</v>
      </c>
      <c r="M162" s="23">
        <f t="shared" si="40"/>
        <v>0</v>
      </c>
      <c r="N162" s="25">
        <f t="shared" si="41"/>
        <v>0</v>
      </c>
    </row>
    <row r="163" s="3" customFormat="1" spans="1:14">
      <c r="A163" s="20"/>
      <c r="B163" s="11" t="s">
        <v>286</v>
      </c>
      <c r="C163" s="8" t="s">
        <v>101</v>
      </c>
      <c r="D163" s="12" t="s">
        <v>261</v>
      </c>
      <c r="E163" s="13" t="s">
        <v>199</v>
      </c>
      <c r="F163" s="7">
        <v>7.5</v>
      </c>
      <c r="G163" s="12">
        <f>I163-1</f>
        <v>134</v>
      </c>
      <c r="H163" s="14">
        <v>0.13</v>
      </c>
      <c r="I163" s="23">
        <v>135</v>
      </c>
      <c r="J163" s="8"/>
      <c r="K163" s="43">
        <f t="shared" si="39"/>
        <v>0</v>
      </c>
      <c r="L163" s="24">
        <f>K163+J163/2</f>
        <v>0</v>
      </c>
      <c r="M163" s="42">
        <f t="shared" si="40"/>
        <v>0</v>
      </c>
      <c r="N163" s="25">
        <f t="shared" si="41"/>
        <v>0</v>
      </c>
    </row>
    <row r="164" s="3" customFormat="1" spans="1:14">
      <c r="A164" s="20"/>
      <c r="B164" s="11" t="s">
        <v>263</v>
      </c>
      <c r="C164" s="8" t="s">
        <v>101</v>
      </c>
      <c r="D164" s="12" t="s">
        <v>261</v>
      </c>
      <c r="E164" s="13" t="s">
        <v>199</v>
      </c>
      <c r="F164" s="7">
        <v>10.5</v>
      </c>
      <c r="G164" s="12">
        <f>I164-1</f>
        <v>177.2</v>
      </c>
      <c r="H164" s="14">
        <v>0.13</v>
      </c>
      <c r="I164" s="23">
        <v>178.2</v>
      </c>
      <c r="J164" s="8"/>
      <c r="K164" s="43">
        <f t="shared" si="39"/>
        <v>0</v>
      </c>
      <c r="L164" s="24">
        <f>K164+J164/2</f>
        <v>0</v>
      </c>
      <c r="M164" s="42">
        <f t="shared" si="40"/>
        <v>0</v>
      </c>
      <c r="N164" s="25">
        <f t="shared" si="41"/>
        <v>0</v>
      </c>
    </row>
    <row r="165" s="3" customFormat="1" spans="1:14">
      <c r="A165" s="20"/>
      <c r="B165" s="20"/>
      <c r="C165" s="20"/>
      <c r="D165" s="20"/>
      <c r="E165" s="20"/>
      <c r="F165" s="33"/>
      <c r="G165" s="21"/>
      <c r="H165" s="34"/>
      <c r="I165" s="23"/>
      <c r="J165" s="8"/>
      <c r="K165" s="24"/>
      <c r="L165" s="24">
        <f>K165+J165/2</f>
        <v>0</v>
      </c>
      <c r="M165" s="23"/>
      <c r="N165" s="25">
        <f t="shared" si="41"/>
        <v>0</v>
      </c>
    </row>
    <row r="166" s="3" customFormat="1" spans="1:14">
      <c r="A166" s="20"/>
      <c r="B166" s="9" t="s">
        <v>287</v>
      </c>
      <c r="C166" s="9"/>
      <c r="D166" s="9"/>
      <c r="E166" s="9"/>
      <c r="F166" s="10"/>
      <c r="G166" s="21"/>
      <c r="H166" s="34"/>
      <c r="I166" s="23"/>
      <c r="J166" s="8"/>
      <c r="K166" s="24"/>
      <c r="L166" s="24">
        <f>K166+J166/2</f>
        <v>0</v>
      </c>
      <c r="M166" s="23"/>
      <c r="N166" s="25">
        <f t="shared" si="41"/>
        <v>0</v>
      </c>
    </row>
    <row r="167" spans="2:14">
      <c r="B167" s="37" t="s">
        <v>288</v>
      </c>
      <c r="C167" s="8" t="s">
        <v>94</v>
      </c>
      <c r="D167" s="12" t="s">
        <v>265</v>
      </c>
      <c r="E167" s="38">
        <v>1000</v>
      </c>
      <c r="F167" s="7">
        <v>8</v>
      </c>
      <c r="G167" s="12">
        <v>90</v>
      </c>
      <c r="H167" s="14">
        <v>0.08</v>
      </c>
      <c r="I167" s="23">
        <f>G167*(1+H167)</f>
        <v>97.2</v>
      </c>
      <c r="J167" s="8"/>
      <c r="K167" s="24">
        <f>J167*F167</f>
        <v>0</v>
      </c>
      <c r="L167" s="24">
        <f>K167+J167/2</f>
        <v>0</v>
      </c>
      <c r="M167" s="23">
        <f>J167*I167</f>
        <v>0</v>
      </c>
      <c r="N167" s="25">
        <f t="shared" si="41"/>
        <v>0</v>
      </c>
    </row>
    <row r="168" spans="2:14">
      <c r="B168" s="37" t="s">
        <v>289</v>
      </c>
      <c r="C168" s="8" t="s">
        <v>94</v>
      </c>
      <c r="D168" s="12" t="s">
        <v>265</v>
      </c>
      <c r="E168" s="38">
        <v>1000</v>
      </c>
      <c r="F168" s="7">
        <v>8</v>
      </c>
      <c r="G168" s="12">
        <v>92</v>
      </c>
      <c r="H168" s="14">
        <v>0.08</v>
      </c>
      <c r="I168" s="23">
        <f>G168*(1+H168)</f>
        <v>99.36</v>
      </c>
      <c r="J168" s="8"/>
      <c r="K168" s="24">
        <f>J168*F168</f>
        <v>0</v>
      </c>
      <c r="L168" s="24">
        <f t="shared" ref="L168:L197" si="42">K168+J168/2</f>
        <v>0</v>
      </c>
      <c r="M168" s="23">
        <f>J168*I168</f>
        <v>0</v>
      </c>
      <c r="N168" s="25">
        <f t="shared" si="41"/>
        <v>0</v>
      </c>
    </row>
    <row r="169" spans="2:14">
      <c r="B169" s="37" t="s">
        <v>290</v>
      </c>
      <c r="C169" s="8" t="s">
        <v>94</v>
      </c>
      <c r="D169" s="12" t="s">
        <v>265</v>
      </c>
      <c r="E169" s="38">
        <v>1000</v>
      </c>
      <c r="F169" s="7">
        <v>7</v>
      </c>
      <c r="G169" s="12">
        <v>87</v>
      </c>
      <c r="H169" s="14">
        <v>0.08</v>
      </c>
      <c r="I169" s="23">
        <f>G169*(1+H169)</f>
        <v>93.96</v>
      </c>
      <c r="J169" s="8"/>
      <c r="K169" s="24">
        <f>J169*F169</f>
        <v>0</v>
      </c>
      <c r="L169" s="24">
        <f t="shared" si="42"/>
        <v>0</v>
      </c>
      <c r="M169" s="23">
        <f>J169*I169</f>
        <v>0</v>
      </c>
      <c r="N169" s="25">
        <f t="shared" si="41"/>
        <v>0</v>
      </c>
    </row>
    <row r="170" spans="2:14">
      <c r="B170" s="9" t="s">
        <v>291</v>
      </c>
      <c r="C170" s="9"/>
      <c r="D170" s="9"/>
      <c r="E170" s="9"/>
      <c r="F170" s="10"/>
      <c r="G170" s="12"/>
      <c r="H170" s="14"/>
      <c r="I170" s="23"/>
      <c r="J170" s="8"/>
      <c r="K170" s="24"/>
      <c r="L170" s="24">
        <f t="shared" si="42"/>
        <v>0</v>
      </c>
      <c r="M170" s="23"/>
      <c r="N170" s="25"/>
    </row>
    <row r="171" spans="2:14">
      <c r="B171" s="37" t="s">
        <v>292</v>
      </c>
      <c r="C171" s="8" t="s">
        <v>93</v>
      </c>
      <c r="D171" s="12" t="s">
        <v>283</v>
      </c>
      <c r="E171" s="38">
        <v>300</v>
      </c>
      <c r="F171" s="7">
        <v>4.65</v>
      </c>
      <c r="G171" s="12">
        <v>61.5</v>
      </c>
      <c r="H171" s="14">
        <v>0.1</v>
      </c>
      <c r="I171" s="23">
        <f>G171*(1+H171)</f>
        <v>67.65</v>
      </c>
      <c r="J171" s="8"/>
      <c r="K171" s="24">
        <f>J171*F171</f>
        <v>0</v>
      </c>
      <c r="L171" s="24">
        <f t="shared" si="42"/>
        <v>0</v>
      </c>
      <c r="M171" s="23">
        <f>J171*I171</f>
        <v>0</v>
      </c>
      <c r="N171" s="25">
        <f t="shared" ref="N171:N197" si="43">M171+J171</f>
        <v>0</v>
      </c>
    </row>
    <row r="172" spans="2:14">
      <c r="B172" s="37" t="s">
        <v>293</v>
      </c>
      <c r="C172" s="8" t="s">
        <v>93</v>
      </c>
      <c r="D172" s="12" t="s">
        <v>283</v>
      </c>
      <c r="E172" s="38">
        <v>300</v>
      </c>
      <c r="F172" s="7">
        <v>5.15</v>
      </c>
      <c r="G172" s="12">
        <v>64.5</v>
      </c>
      <c r="H172" s="14">
        <v>0.1</v>
      </c>
      <c r="I172" s="23">
        <f>G172*(1+H172)</f>
        <v>70.95</v>
      </c>
      <c r="J172" s="8"/>
      <c r="K172" s="24">
        <f>J172*F172</f>
        <v>0</v>
      </c>
      <c r="L172" s="24">
        <f t="shared" si="42"/>
        <v>0</v>
      </c>
      <c r="M172" s="23">
        <f>J172*I172</f>
        <v>0</v>
      </c>
      <c r="N172" s="25">
        <f t="shared" si="43"/>
        <v>0</v>
      </c>
    </row>
    <row r="173" s="3" customFormat="1" spans="1:14">
      <c r="A173" s="20"/>
      <c r="B173" s="36" t="s">
        <v>294</v>
      </c>
      <c r="C173" s="8" t="s">
        <v>93</v>
      </c>
      <c r="D173" s="12" t="s">
        <v>283</v>
      </c>
      <c r="E173" s="38">
        <v>300</v>
      </c>
      <c r="F173" s="7">
        <v>5.9</v>
      </c>
      <c r="G173" s="21">
        <v>76.5</v>
      </c>
      <c r="H173" s="34">
        <v>0.1</v>
      </c>
      <c r="I173" s="23">
        <f>G173*(1+H173)</f>
        <v>84.15</v>
      </c>
      <c r="J173" s="8"/>
      <c r="K173" s="24">
        <f>J173*F173</f>
        <v>0</v>
      </c>
      <c r="L173" s="24">
        <f t="shared" si="42"/>
        <v>0</v>
      </c>
      <c r="M173" s="23">
        <f>J173*I173</f>
        <v>0</v>
      </c>
      <c r="N173" s="25">
        <f t="shared" si="43"/>
        <v>0</v>
      </c>
    </row>
    <row r="174" s="3" customFormat="1" spans="1:14">
      <c r="A174" s="20"/>
      <c r="B174" s="2" t="s">
        <v>295</v>
      </c>
      <c r="C174" s="8" t="s">
        <v>93</v>
      </c>
      <c r="D174" s="12" t="s">
        <v>285</v>
      </c>
      <c r="E174" s="38">
        <v>300</v>
      </c>
      <c r="F174" s="7">
        <v>4.7</v>
      </c>
      <c r="G174" s="21">
        <v>94.5</v>
      </c>
      <c r="H174" s="34">
        <v>0.1</v>
      </c>
      <c r="I174" s="23">
        <f>G174*(1+H174)</f>
        <v>103.95</v>
      </c>
      <c r="J174" s="8"/>
      <c r="K174" s="24">
        <f>J174*F174</f>
        <v>0</v>
      </c>
      <c r="L174" s="24">
        <f t="shared" si="42"/>
        <v>0</v>
      </c>
      <c r="M174" s="23">
        <f>J174*I174</f>
        <v>0</v>
      </c>
      <c r="N174" s="25">
        <f t="shared" si="43"/>
        <v>0</v>
      </c>
    </row>
    <row r="175" s="3" customFormat="1" spans="1:14">
      <c r="A175" s="20"/>
      <c r="B175" s="21"/>
      <c r="C175" s="21"/>
      <c r="D175" s="21"/>
      <c r="E175" s="21"/>
      <c r="F175" s="21"/>
      <c r="G175" s="21"/>
      <c r="H175" s="34"/>
      <c r="I175" s="23"/>
      <c r="J175" s="8"/>
      <c r="K175" s="24"/>
      <c r="L175" s="24">
        <f t="shared" si="42"/>
        <v>0</v>
      </c>
      <c r="M175" s="23"/>
      <c r="N175" s="25">
        <f t="shared" si="43"/>
        <v>0</v>
      </c>
    </row>
    <row r="176" s="3" customFormat="1" spans="1:14">
      <c r="A176" s="20"/>
      <c r="B176" s="9" t="s">
        <v>296</v>
      </c>
      <c r="C176" s="39"/>
      <c r="D176" s="39"/>
      <c r="E176" s="39"/>
      <c r="F176" s="40"/>
      <c r="G176" s="21"/>
      <c r="H176" s="34"/>
      <c r="I176" s="23"/>
      <c r="J176" s="8"/>
      <c r="K176" s="24"/>
      <c r="L176" s="24">
        <f t="shared" si="42"/>
        <v>0</v>
      </c>
      <c r="M176" s="23"/>
      <c r="N176" s="25">
        <f t="shared" si="43"/>
        <v>0</v>
      </c>
    </row>
    <row r="177" spans="2:14">
      <c r="B177" s="37" t="s">
        <v>297</v>
      </c>
      <c r="C177" s="8" t="s">
        <v>94</v>
      </c>
      <c r="D177" s="12" t="s">
        <v>298</v>
      </c>
      <c r="E177" s="38">
        <v>500</v>
      </c>
      <c r="F177" s="7">
        <v>5</v>
      </c>
      <c r="G177" s="12">
        <v>67.5</v>
      </c>
      <c r="H177" s="14">
        <v>0.08</v>
      </c>
      <c r="I177" s="23">
        <f t="shared" ref="I177:I197" si="44">G177*(1+H177)</f>
        <v>72.9</v>
      </c>
      <c r="J177" s="8"/>
      <c r="K177" s="24">
        <f t="shared" ref="K177:K197" si="45">J177*F177</f>
        <v>0</v>
      </c>
      <c r="L177" s="24">
        <f t="shared" si="42"/>
        <v>0</v>
      </c>
      <c r="M177" s="23">
        <f t="shared" ref="M177:M197" si="46">J177*I177</f>
        <v>0</v>
      </c>
      <c r="N177" s="25">
        <f t="shared" si="43"/>
        <v>0</v>
      </c>
    </row>
    <row r="178" spans="2:14">
      <c r="B178" s="37" t="s">
        <v>299</v>
      </c>
      <c r="C178" s="8" t="s">
        <v>94</v>
      </c>
      <c r="D178" s="12" t="s">
        <v>298</v>
      </c>
      <c r="E178" s="38">
        <v>500</v>
      </c>
      <c r="F178" s="7">
        <v>6.2</v>
      </c>
      <c r="G178" s="12">
        <v>79</v>
      </c>
      <c r="H178" s="14">
        <v>0.08</v>
      </c>
      <c r="I178" s="23">
        <f t="shared" si="44"/>
        <v>85.32</v>
      </c>
      <c r="J178" s="8"/>
      <c r="K178" s="24">
        <f t="shared" si="45"/>
        <v>0</v>
      </c>
      <c r="L178" s="24">
        <f t="shared" si="42"/>
        <v>0</v>
      </c>
      <c r="M178" s="23">
        <f t="shared" si="46"/>
        <v>0</v>
      </c>
      <c r="N178" s="25">
        <f t="shared" si="43"/>
        <v>0</v>
      </c>
    </row>
    <row r="179" spans="2:14">
      <c r="B179" s="38" t="s">
        <v>300</v>
      </c>
      <c r="C179" s="8" t="s">
        <v>94</v>
      </c>
      <c r="D179" s="12" t="s">
        <v>298</v>
      </c>
      <c r="E179" s="38">
        <v>500</v>
      </c>
      <c r="F179" s="7"/>
      <c r="G179" s="12"/>
      <c r="H179" s="14">
        <v>0.08</v>
      </c>
      <c r="I179" s="23"/>
      <c r="J179" s="8"/>
      <c r="K179" s="24">
        <f t="shared" si="45"/>
        <v>0</v>
      </c>
      <c r="L179" s="24">
        <f t="shared" si="42"/>
        <v>0</v>
      </c>
      <c r="M179" s="23">
        <f t="shared" si="46"/>
        <v>0</v>
      </c>
      <c r="N179" s="25">
        <f t="shared" si="43"/>
        <v>0</v>
      </c>
    </row>
    <row r="180" spans="2:14">
      <c r="B180" s="37" t="s">
        <v>301</v>
      </c>
      <c r="C180" s="8" t="s">
        <v>94</v>
      </c>
      <c r="D180" s="12" t="s">
        <v>298</v>
      </c>
      <c r="E180" s="38">
        <v>500</v>
      </c>
      <c r="F180" s="7">
        <v>6.5</v>
      </c>
      <c r="G180" s="12">
        <v>105</v>
      </c>
      <c r="H180" s="14">
        <v>0.08</v>
      </c>
      <c r="I180" s="23">
        <f t="shared" si="44"/>
        <v>113.4</v>
      </c>
      <c r="J180" s="8"/>
      <c r="K180" s="24">
        <f t="shared" si="45"/>
        <v>0</v>
      </c>
      <c r="L180" s="24">
        <f t="shared" si="42"/>
        <v>0</v>
      </c>
      <c r="M180" s="23">
        <f t="shared" si="46"/>
        <v>0</v>
      </c>
      <c r="N180" s="25">
        <f t="shared" si="43"/>
        <v>0</v>
      </c>
    </row>
    <row r="181" spans="2:14">
      <c r="B181" s="37" t="s">
        <v>302</v>
      </c>
      <c r="C181" s="8" t="s">
        <v>94</v>
      </c>
      <c r="D181" s="12" t="s">
        <v>298</v>
      </c>
      <c r="E181" s="38">
        <v>500</v>
      </c>
      <c r="F181" s="7">
        <v>7.5</v>
      </c>
      <c r="G181" s="12">
        <v>117.5</v>
      </c>
      <c r="H181" s="14">
        <v>0.08</v>
      </c>
      <c r="I181" s="23">
        <f t="shared" si="44"/>
        <v>126.9</v>
      </c>
      <c r="J181" s="8"/>
      <c r="K181" s="24">
        <f t="shared" si="45"/>
        <v>0</v>
      </c>
      <c r="L181" s="24">
        <f t="shared" si="42"/>
        <v>0</v>
      </c>
      <c r="M181" s="23">
        <f t="shared" si="46"/>
        <v>0</v>
      </c>
      <c r="N181" s="25">
        <f t="shared" si="43"/>
        <v>0</v>
      </c>
    </row>
    <row r="182" spans="2:14">
      <c r="B182" s="38" t="s">
        <v>303</v>
      </c>
      <c r="C182" s="8" t="s">
        <v>94</v>
      </c>
      <c r="D182" s="12" t="s">
        <v>298</v>
      </c>
      <c r="E182" s="38">
        <v>500</v>
      </c>
      <c r="F182" s="7">
        <v>8</v>
      </c>
      <c r="G182" s="12">
        <v>122.5</v>
      </c>
      <c r="H182" s="14">
        <v>0.08</v>
      </c>
      <c r="I182" s="23">
        <f t="shared" si="44"/>
        <v>132.3</v>
      </c>
      <c r="J182" s="8"/>
      <c r="K182" s="24">
        <f t="shared" si="45"/>
        <v>0</v>
      </c>
      <c r="L182" s="24">
        <f t="shared" si="42"/>
        <v>0</v>
      </c>
      <c r="M182" s="23">
        <f t="shared" si="46"/>
        <v>0</v>
      </c>
      <c r="N182" s="25">
        <f t="shared" si="43"/>
        <v>0</v>
      </c>
    </row>
    <row r="183" spans="2:14">
      <c r="B183" s="38" t="s">
        <v>304</v>
      </c>
      <c r="C183" s="8" t="s">
        <v>94</v>
      </c>
      <c r="D183" s="38" t="s">
        <v>305</v>
      </c>
      <c r="E183" s="38">
        <v>5000</v>
      </c>
      <c r="F183" s="7">
        <v>6</v>
      </c>
      <c r="G183" s="12">
        <v>100</v>
      </c>
      <c r="H183" s="14">
        <v>0.08</v>
      </c>
      <c r="I183" s="23">
        <f t="shared" si="44"/>
        <v>108</v>
      </c>
      <c r="J183" s="8"/>
      <c r="K183" s="24">
        <f t="shared" si="45"/>
        <v>0</v>
      </c>
      <c r="L183" s="24">
        <f t="shared" si="42"/>
        <v>0</v>
      </c>
      <c r="M183" s="23">
        <f t="shared" si="46"/>
        <v>0</v>
      </c>
      <c r="N183" s="25">
        <f t="shared" si="43"/>
        <v>0</v>
      </c>
    </row>
    <row r="184" spans="2:14">
      <c r="B184" s="6" t="s">
        <v>306</v>
      </c>
      <c r="C184" s="8" t="s">
        <v>94</v>
      </c>
      <c r="D184" s="38" t="s">
        <v>305</v>
      </c>
      <c r="E184" s="38">
        <v>5000</v>
      </c>
      <c r="F184" s="7">
        <v>7</v>
      </c>
      <c r="G184" s="12">
        <v>145</v>
      </c>
      <c r="H184" s="14">
        <v>0.08</v>
      </c>
      <c r="I184" s="23">
        <f t="shared" si="44"/>
        <v>156.6</v>
      </c>
      <c r="J184" s="8"/>
      <c r="K184" s="24">
        <f t="shared" si="45"/>
        <v>0</v>
      </c>
      <c r="L184" s="24">
        <f t="shared" si="42"/>
        <v>0</v>
      </c>
      <c r="M184" s="23">
        <f t="shared" si="46"/>
        <v>0</v>
      </c>
      <c r="N184" s="25">
        <f t="shared" si="43"/>
        <v>0</v>
      </c>
    </row>
    <row r="185" spans="2:14">
      <c r="B185" s="38" t="s">
        <v>307</v>
      </c>
      <c r="C185" s="8" t="s">
        <v>94</v>
      </c>
      <c r="D185" s="38" t="s">
        <v>305</v>
      </c>
      <c r="E185" s="38">
        <v>5000</v>
      </c>
      <c r="F185" s="7">
        <v>8</v>
      </c>
      <c r="G185" s="12">
        <v>135</v>
      </c>
      <c r="H185" s="14">
        <v>0.08</v>
      </c>
      <c r="I185" s="23">
        <f t="shared" si="44"/>
        <v>145.8</v>
      </c>
      <c r="J185" s="8"/>
      <c r="K185" s="24">
        <f t="shared" si="45"/>
        <v>0</v>
      </c>
      <c r="L185" s="24">
        <f t="shared" si="42"/>
        <v>0</v>
      </c>
      <c r="M185" s="23">
        <f t="shared" si="46"/>
        <v>0</v>
      </c>
      <c r="N185" s="25">
        <f t="shared" si="43"/>
        <v>0</v>
      </c>
    </row>
    <row r="186" spans="1:14">
      <c r="A186" s="6"/>
      <c r="B186" s="6" t="s">
        <v>308</v>
      </c>
      <c r="C186" s="8" t="s">
        <v>94</v>
      </c>
      <c r="D186" s="38" t="s">
        <v>305</v>
      </c>
      <c r="E186" s="38">
        <v>5000</v>
      </c>
      <c r="F186" s="7">
        <v>7.7</v>
      </c>
      <c r="G186" s="12">
        <v>175</v>
      </c>
      <c r="H186" s="14">
        <v>0.08</v>
      </c>
      <c r="I186" s="23">
        <f t="shared" si="44"/>
        <v>189</v>
      </c>
      <c r="J186" s="8"/>
      <c r="K186" s="24">
        <f t="shared" si="45"/>
        <v>0</v>
      </c>
      <c r="L186" s="24">
        <f t="shared" si="42"/>
        <v>0</v>
      </c>
      <c r="M186" s="23">
        <f t="shared" si="46"/>
        <v>0</v>
      </c>
      <c r="N186" s="25">
        <f t="shared" si="43"/>
        <v>0</v>
      </c>
    </row>
    <row r="187" spans="2:14">
      <c r="B187" s="38" t="s">
        <v>309</v>
      </c>
      <c r="C187" s="8" t="s">
        <v>94</v>
      </c>
      <c r="D187" s="38" t="s">
        <v>305</v>
      </c>
      <c r="E187" s="38">
        <v>5000</v>
      </c>
      <c r="F187" s="7">
        <v>9.4</v>
      </c>
      <c r="G187" s="12">
        <v>160</v>
      </c>
      <c r="H187" s="14">
        <v>0.08</v>
      </c>
      <c r="I187" s="23">
        <f t="shared" si="44"/>
        <v>172.8</v>
      </c>
      <c r="J187" s="8"/>
      <c r="K187" s="24">
        <f t="shared" si="45"/>
        <v>0</v>
      </c>
      <c r="L187" s="24">
        <f t="shared" si="42"/>
        <v>0</v>
      </c>
      <c r="M187" s="23">
        <f t="shared" si="46"/>
        <v>0</v>
      </c>
      <c r="N187" s="25">
        <f t="shared" si="43"/>
        <v>0</v>
      </c>
    </row>
    <row r="188" spans="2:14">
      <c r="B188" s="41" t="s">
        <v>310</v>
      </c>
      <c r="C188" s="8" t="s">
        <v>94</v>
      </c>
      <c r="D188" s="38" t="s">
        <v>305</v>
      </c>
      <c r="E188" s="38">
        <v>5000</v>
      </c>
      <c r="F188" s="7">
        <v>10</v>
      </c>
      <c r="G188" s="12">
        <v>190</v>
      </c>
      <c r="H188" s="14">
        <v>0.08</v>
      </c>
      <c r="I188" s="23">
        <f t="shared" si="44"/>
        <v>205.2</v>
      </c>
      <c r="J188" s="8"/>
      <c r="K188" s="24">
        <f t="shared" si="45"/>
        <v>0</v>
      </c>
      <c r="L188" s="24">
        <f t="shared" si="42"/>
        <v>0</v>
      </c>
      <c r="M188" s="23">
        <f t="shared" si="46"/>
        <v>0</v>
      </c>
      <c r="N188" s="25">
        <f t="shared" si="43"/>
        <v>0</v>
      </c>
    </row>
    <row r="189" spans="2:14">
      <c r="B189" s="38" t="s">
        <v>311</v>
      </c>
      <c r="C189" s="8" t="s">
        <v>94</v>
      </c>
      <c r="D189" s="38" t="s">
        <v>305</v>
      </c>
      <c r="E189" s="38">
        <v>1000</v>
      </c>
      <c r="F189" s="7">
        <v>2.5</v>
      </c>
      <c r="G189" s="12">
        <v>54</v>
      </c>
      <c r="H189" s="14">
        <v>0.08</v>
      </c>
      <c r="I189" s="23">
        <f t="shared" si="44"/>
        <v>58.32</v>
      </c>
      <c r="J189" s="8"/>
      <c r="K189" s="24">
        <f t="shared" si="45"/>
        <v>0</v>
      </c>
      <c r="L189" s="24">
        <f t="shared" si="42"/>
        <v>0</v>
      </c>
      <c r="M189" s="23">
        <f t="shared" si="46"/>
        <v>0</v>
      </c>
      <c r="N189" s="25">
        <f t="shared" si="43"/>
        <v>0</v>
      </c>
    </row>
    <row r="190" spans="2:14">
      <c r="B190" s="37" t="s">
        <v>312</v>
      </c>
      <c r="C190" s="8" t="s">
        <v>94</v>
      </c>
      <c r="D190" s="38" t="s">
        <v>305</v>
      </c>
      <c r="E190" s="38">
        <v>1000</v>
      </c>
      <c r="F190" s="7">
        <v>4</v>
      </c>
      <c r="G190" s="12">
        <v>58</v>
      </c>
      <c r="H190" s="14">
        <v>0.08</v>
      </c>
      <c r="I190" s="23">
        <f t="shared" si="44"/>
        <v>62.64</v>
      </c>
      <c r="J190" s="8"/>
      <c r="K190" s="24">
        <f t="shared" si="45"/>
        <v>0</v>
      </c>
      <c r="L190" s="24">
        <f t="shared" si="42"/>
        <v>0</v>
      </c>
      <c r="M190" s="23">
        <f t="shared" si="46"/>
        <v>0</v>
      </c>
      <c r="N190" s="25">
        <f t="shared" si="43"/>
        <v>0</v>
      </c>
    </row>
    <row r="191" spans="1:14">
      <c r="A191" s="6"/>
      <c r="B191" s="6" t="s">
        <v>313</v>
      </c>
      <c r="C191" s="8" t="s">
        <v>94</v>
      </c>
      <c r="D191" s="38" t="s">
        <v>305</v>
      </c>
      <c r="E191" s="38">
        <v>1000</v>
      </c>
      <c r="F191" s="7">
        <v>3.3</v>
      </c>
      <c r="G191" s="12">
        <v>63</v>
      </c>
      <c r="H191" s="14">
        <v>0.08</v>
      </c>
      <c r="I191" s="23">
        <f t="shared" si="44"/>
        <v>68.04</v>
      </c>
      <c r="J191" s="8"/>
      <c r="K191" s="24">
        <f t="shared" si="45"/>
        <v>0</v>
      </c>
      <c r="L191" s="24">
        <f t="shared" si="42"/>
        <v>0</v>
      </c>
      <c r="M191" s="23">
        <f t="shared" si="46"/>
        <v>0</v>
      </c>
      <c r="N191" s="25">
        <f t="shared" si="43"/>
        <v>0</v>
      </c>
    </row>
    <row r="192" spans="2:14">
      <c r="B192" s="38" t="s">
        <v>314</v>
      </c>
      <c r="C192" s="8" t="s">
        <v>94</v>
      </c>
      <c r="D192" s="38" t="s">
        <v>305</v>
      </c>
      <c r="E192" s="38">
        <v>1000</v>
      </c>
      <c r="F192" s="7"/>
      <c r="G192" s="12"/>
      <c r="H192" s="14"/>
      <c r="I192" s="23"/>
      <c r="J192" s="8"/>
      <c r="K192" s="24">
        <f t="shared" si="45"/>
        <v>0</v>
      </c>
      <c r="L192" s="24">
        <f t="shared" si="42"/>
        <v>0</v>
      </c>
      <c r="M192" s="23">
        <f t="shared" si="46"/>
        <v>0</v>
      </c>
      <c r="N192" s="25">
        <f t="shared" si="43"/>
        <v>0</v>
      </c>
    </row>
    <row r="193" spans="2:14">
      <c r="B193" s="38" t="s">
        <v>315</v>
      </c>
      <c r="C193" s="8" t="s">
        <v>94</v>
      </c>
      <c r="D193" s="38" t="s">
        <v>305</v>
      </c>
      <c r="E193" s="38">
        <v>1000</v>
      </c>
      <c r="F193" s="7"/>
      <c r="G193" s="12"/>
      <c r="H193" s="14"/>
      <c r="I193" s="23"/>
      <c r="J193" s="8"/>
      <c r="K193" s="24">
        <f t="shared" si="45"/>
        <v>0</v>
      </c>
      <c r="L193" s="24">
        <f t="shared" si="42"/>
        <v>0</v>
      </c>
      <c r="M193" s="23">
        <f t="shared" si="46"/>
        <v>0</v>
      </c>
      <c r="N193" s="25">
        <f t="shared" si="43"/>
        <v>0</v>
      </c>
    </row>
    <row r="194" spans="2:14">
      <c r="B194" s="37" t="s">
        <v>316</v>
      </c>
      <c r="C194" s="8" t="s">
        <v>317</v>
      </c>
      <c r="D194" s="12" t="s">
        <v>318</v>
      </c>
      <c r="E194" s="38">
        <v>2000</v>
      </c>
      <c r="F194" s="7">
        <v>5</v>
      </c>
      <c r="G194" s="12">
        <v>140</v>
      </c>
      <c r="H194" s="14">
        <v>0.08</v>
      </c>
      <c r="I194" s="23">
        <f t="shared" si="44"/>
        <v>151.2</v>
      </c>
      <c r="J194" s="8"/>
      <c r="K194" s="24">
        <f t="shared" si="45"/>
        <v>0</v>
      </c>
      <c r="L194" s="24">
        <f t="shared" si="42"/>
        <v>0</v>
      </c>
      <c r="M194" s="23">
        <f t="shared" si="46"/>
        <v>0</v>
      </c>
      <c r="N194" s="25">
        <f t="shared" si="43"/>
        <v>0</v>
      </c>
    </row>
    <row r="195" spans="2:14">
      <c r="B195" s="37" t="s">
        <v>316</v>
      </c>
      <c r="C195" s="8" t="s">
        <v>319</v>
      </c>
      <c r="D195" s="12" t="s">
        <v>318</v>
      </c>
      <c r="E195" s="38">
        <v>2000</v>
      </c>
      <c r="F195" s="7">
        <v>5</v>
      </c>
      <c r="G195" s="12">
        <v>140</v>
      </c>
      <c r="H195" s="14">
        <v>0.08</v>
      </c>
      <c r="I195" s="23">
        <f t="shared" si="44"/>
        <v>151.2</v>
      </c>
      <c r="J195" s="8"/>
      <c r="K195" s="24">
        <f t="shared" si="45"/>
        <v>0</v>
      </c>
      <c r="L195" s="24">
        <f t="shared" si="42"/>
        <v>0</v>
      </c>
      <c r="M195" s="23">
        <f t="shared" si="46"/>
        <v>0</v>
      </c>
      <c r="N195" s="25">
        <f t="shared" si="43"/>
        <v>0</v>
      </c>
    </row>
    <row r="196" spans="2:14">
      <c r="B196" s="38" t="s">
        <v>316</v>
      </c>
      <c r="C196" s="8" t="s">
        <v>96</v>
      </c>
      <c r="D196" s="12" t="s">
        <v>318</v>
      </c>
      <c r="E196" s="38">
        <v>1000</v>
      </c>
      <c r="F196" s="7">
        <v>2.5</v>
      </c>
      <c r="G196" s="12">
        <v>70</v>
      </c>
      <c r="H196" s="14">
        <v>0.08</v>
      </c>
      <c r="I196" s="23">
        <f t="shared" si="44"/>
        <v>75.6</v>
      </c>
      <c r="J196" s="8"/>
      <c r="K196" s="24">
        <f t="shared" si="45"/>
        <v>0</v>
      </c>
      <c r="L196" s="24">
        <f t="shared" si="42"/>
        <v>0</v>
      </c>
      <c r="M196" s="23">
        <f t="shared" si="46"/>
        <v>0</v>
      </c>
      <c r="N196" s="25">
        <f t="shared" si="43"/>
        <v>0</v>
      </c>
    </row>
    <row r="197" spans="2:14">
      <c r="B197" s="38" t="s">
        <v>279</v>
      </c>
      <c r="C197" s="8" t="s">
        <v>96</v>
      </c>
      <c r="D197" s="12" t="s">
        <v>267</v>
      </c>
      <c r="E197" s="38">
        <v>2000</v>
      </c>
      <c r="F197" s="7">
        <v>4</v>
      </c>
      <c r="G197" s="12">
        <v>101</v>
      </c>
      <c r="H197" s="14">
        <v>0.13</v>
      </c>
      <c r="I197" s="23">
        <f t="shared" si="44"/>
        <v>114.13</v>
      </c>
      <c r="J197" s="8"/>
      <c r="K197" s="24">
        <f t="shared" si="45"/>
        <v>0</v>
      </c>
      <c r="L197" s="24">
        <f t="shared" si="42"/>
        <v>0</v>
      </c>
      <c r="M197" s="23">
        <f t="shared" si="46"/>
        <v>0</v>
      </c>
      <c r="N197" s="25">
        <f t="shared" si="43"/>
        <v>0</v>
      </c>
    </row>
    <row r="198" spans="6:12">
      <c r="F198" s="7"/>
      <c r="G198" s="12"/>
      <c r="H198" s="14"/>
      <c r="J198" s="7" t="s">
        <v>320</v>
      </c>
      <c r="K198" s="24">
        <f>SUM(J6:J196)</f>
        <v>0</v>
      </c>
      <c r="L198" s="6" t="s">
        <v>321</v>
      </c>
    </row>
    <row r="199" spans="1:12">
      <c r="A199" s="45"/>
      <c r="B199" s="45"/>
      <c r="C199" s="45"/>
      <c r="D199" s="45"/>
      <c r="E199" s="45"/>
      <c r="F199" s="7"/>
      <c r="G199" s="12"/>
      <c r="H199" s="14"/>
      <c r="I199" s="45"/>
      <c r="J199" s="38" t="s">
        <v>322</v>
      </c>
      <c r="K199" s="7">
        <f>SUM(K6:K196)</f>
        <v>0</v>
      </c>
      <c r="L199" s="6" t="s">
        <v>323</v>
      </c>
    </row>
    <row r="200" spans="1:13">
      <c r="A200" s="45"/>
      <c r="B200" s="45"/>
      <c r="C200" s="45"/>
      <c r="D200" s="45"/>
      <c r="E200" s="45"/>
      <c r="F200" s="45"/>
      <c r="G200" s="12"/>
      <c r="H200" s="14"/>
      <c r="I200" s="45"/>
      <c r="J200" s="38" t="s">
        <v>324</v>
      </c>
      <c r="K200" s="4">
        <f>SUM(L:L)</f>
        <v>0</v>
      </c>
      <c r="L200" s="46" t="s">
        <v>323</v>
      </c>
      <c r="M200" s="38"/>
    </row>
    <row r="201" spans="1:13">
      <c r="A201" s="45"/>
      <c r="B201" s="45"/>
      <c r="C201" s="45"/>
      <c r="D201" s="45"/>
      <c r="E201" s="45"/>
      <c r="F201" s="45"/>
      <c r="G201" s="12"/>
      <c r="H201" s="14"/>
      <c r="I201" s="45"/>
      <c r="J201" s="38" t="s">
        <v>325</v>
      </c>
      <c r="K201" s="45">
        <f>SUM(N5:N197)</f>
        <v>0</v>
      </c>
      <c r="L201" s="45"/>
      <c r="M201" s="38"/>
    </row>
    <row r="202" spans="1:13">
      <c r="A202" s="45"/>
      <c r="B202" s="45"/>
      <c r="C202" s="45"/>
      <c r="D202" s="45"/>
      <c r="E202" s="45"/>
      <c r="F202" s="45"/>
      <c r="G202" s="12"/>
      <c r="H202" s="14"/>
      <c r="I202" s="45"/>
      <c r="J202" s="45"/>
      <c r="K202" s="45"/>
      <c r="L202" s="45"/>
      <c r="M202" s="38"/>
    </row>
    <row r="203" spans="1:13">
      <c r="A203" s="45"/>
      <c r="B203" s="45"/>
      <c r="C203" s="45"/>
      <c r="D203" s="45"/>
      <c r="E203" s="45"/>
      <c r="F203" s="45"/>
      <c r="G203" s="12"/>
      <c r="H203" s="14"/>
      <c r="I203" s="45"/>
      <c r="J203" s="45"/>
      <c r="K203" s="45"/>
      <c r="L203" s="45"/>
      <c r="M203" s="38"/>
    </row>
    <row r="204" spans="1:13">
      <c r="A204" s="45"/>
      <c r="B204" s="45"/>
      <c r="C204" s="45"/>
      <c r="D204" s="45"/>
      <c r="E204" s="45"/>
      <c r="F204" s="45"/>
      <c r="G204" s="45"/>
      <c r="H204" s="14"/>
      <c r="I204" s="45"/>
      <c r="J204" s="45"/>
      <c r="K204" s="45"/>
      <c r="L204" s="45"/>
      <c r="M204" s="38"/>
    </row>
    <row r="205" spans="1:13">
      <c r="A205" s="45"/>
      <c r="B205" s="45"/>
      <c r="C205" s="45"/>
      <c r="D205" s="45"/>
      <c r="E205" s="45"/>
      <c r="F205" s="45"/>
      <c r="G205" s="45"/>
      <c r="H205" s="14"/>
      <c r="I205" s="45"/>
      <c r="J205" s="45"/>
      <c r="K205" s="45"/>
      <c r="L205" s="45"/>
      <c r="M205" s="38"/>
    </row>
    <row r="206" spans="1:13">
      <c r="A206" s="45"/>
      <c r="B206" s="45"/>
      <c r="C206" s="45"/>
      <c r="D206" s="45"/>
      <c r="E206" s="45"/>
      <c r="F206" s="45"/>
      <c r="G206" s="45"/>
      <c r="H206" s="14"/>
      <c r="I206" s="45"/>
      <c r="J206" s="45"/>
      <c r="K206" s="45"/>
      <c r="L206" s="45" t="s">
        <v>225</v>
      </c>
      <c r="M206" s="38"/>
    </row>
    <row r="207" spans="1:13">
      <c r="A207" s="45"/>
      <c r="B207" s="45"/>
      <c r="C207" s="45"/>
      <c r="D207" s="45"/>
      <c r="E207" s="45"/>
      <c r="F207" s="45"/>
      <c r="G207" s="45"/>
      <c r="H207" s="45"/>
      <c r="I207" s="45"/>
      <c r="J207" s="45"/>
      <c r="K207" s="45"/>
      <c r="L207" s="45"/>
      <c r="M207" s="38"/>
    </row>
    <row r="208" spans="1:13">
      <c r="A208" s="45"/>
      <c r="B208" s="45"/>
      <c r="C208" s="45"/>
      <c r="D208" s="45"/>
      <c r="E208" s="45"/>
      <c r="F208" s="45"/>
      <c r="G208" s="45"/>
      <c r="H208" s="45"/>
      <c r="I208" s="45"/>
      <c r="J208" s="45"/>
      <c r="K208" s="45"/>
      <c r="L208" s="45"/>
      <c r="M208" s="38"/>
    </row>
    <row r="209" spans="1:13">
      <c r="A209" s="45"/>
      <c r="B209" s="45"/>
      <c r="C209" s="45"/>
      <c r="D209" s="45"/>
      <c r="E209" s="45"/>
      <c r="F209" s="45"/>
      <c r="G209" s="45"/>
      <c r="H209" s="45"/>
      <c r="I209" s="45"/>
      <c r="J209" s="45"/>
      <c r="K209" s="45"/>
      <c r="L209" s="45"/>
      <c r="M209" s="38"/>
    </row>
    <row r="210" spans="1:13">
      <c r="A210" s="45"/>
      <c r="B210" s="45"/>
      <c r="C210" s="45"/>
      <c r="D210" s="45"/>
      <c r="E210" s="45"/>
      <c r="F210" s="45"/>
      <c r="G210" s="45"/>
      <c r="H210" s="45"/>
      <c r="I210" s="45"/>
      <c r="J210" s="45"/>
      <c r="K210" s="45"/>
      <c r="L210" s="45"/>
      <c r="M210" s="38"/>
    </row>
    <row r="212" spans="2:5">
      <c r="B212" s="6"/>
      <c r="C212" s="6"/>
      <c r="D212" s="6"/>
      <c r="E212" s="6"/>
    </row>
    <row r="214" spans="10:10">
      <c r="J214" s="6"/>
    </row>
    <row r="215" spans="11:11">
      <c r="K215" s="2" t="s">
        <v>225</v>
      </c>
    </row>
    <row r="216" spans="2:5">
      <c r="B216" s="6"/>
      <c r="C216" s="6"/>
      <c r="D216" s="6"/>
      <c r="E216" s="6"/>
    </row>
    <row r="229" spans="5:5">
      <c r="E229" s="2" t="s">
        <v>225</v>
      </c>
    </row>
  </sheetData>
  <autoFilter ref="A4:P201">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_xlfn._xlws.FILTER(工作表2!B6:N197,工作表2!N6:N197&gt;0,"")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2026-08-20T02:31:13Z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8B3FAE4AB8D547C1936A2ABD07A12693_13</vt:lpwstr>
  </property>
  <property fmtid="{D5CDD505-2E9C-101B-9397-08002B2CF9AE}" pid="4" name="KSOProductBuildVer">
    <vt:lpwstr>2052-12.1.0.16417</vt:lpwstr>
  </property>
</Properties>
</file>